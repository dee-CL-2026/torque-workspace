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SAVINGS TRACKER" sheetId="2" r:id="rId6"/>
  </sheets>
  <definedNames/>
  <calcPr/>
</workbook>
</file>

<file path=xl/sharedStrings.xml><?xml version="1.0" encoding="utf-8"?>
<sst xmlns="http://schemas.openxmlformats.org/spreadsheetml/2006/main" count="102" uniqueCount="27">
  <si>
    <t>SETUP</t>
  </si>
  <si>
    <t>IF YOU DON'T KNOW HOW TO USE THE SPREADSHEET</t>
  </si>
  <si>
    <t>OPTION 1 : Read me - Instruction file</t>
  </si>
  <si>
    <t>Savings Tracker Instructions</t>
  </si>
  <si>
    <t>DEFINE YOUR  CURRENCY SYMBOL</t>
  </si>
  <si>
    <t>$</t>
  </si>
  <si>
    <t>SAVINGS TRACKER</t>
  </si>
  <si>
    <t>GLOBAL GOAL AMOUNT</t>
  </si>
  <si>
    <t>TOTAL SAVED</t>
  </si>
  <si>
    <t>TOTAL LEFT TO SAVE</t>
  </si>
  <si>
    <t>GLOBAL PROGRESSION</t>
  </si>
  <si>
    <t>GLOBAL MONTHLY GOAL</t>
  </si>
  <si>
    <t>CONTRIBUTION TRACKER</t>
  </si>
  <si>
    <t>FUNDS OVERVIEW</t>
  </si>
  <si>
    <t>DATE</t>
  </si>
  <si>
    <t>GOAL NAME</t>
  </si>
  <si>
    <t>AMOUNT</t>
  </si>
  <si>
    <t>GOAL AMOUNT</t>
  </si>
  <si>
    <t>MONTHLY GOAL</t>
  </si>
  <si>
    <t>START</t>
  </si>
  <si>
    <t>SAVED</t>
  </si>
  <si>
    <t>LEFT</t>
  </si>
  <si>
    <t>PROG</t>
  </si>
  <si>
    <t>MONTHS LEFT</t>
  </si>
  <si>
    <t>ESTIMATE DATE</t>
  </si>
  <si>
    <t>TOTAL</t>
  </si>
  <si>
    <t>MONTH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</si>
</sst>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$-409]#,##0"/>
    <numFmt numFmtId="165" formatCode="0.0%"/>
    <numFmt numFmtId="166" formatCode="yyyy&quot;-&quot;mm&quot;-&quot;dd"/>
    <numFmt numFmtId="167" formatCode="[$$-409]#,##0.00"/>
  </numFmts>
  <fonts count="17">
    <font>
      <sz val="10.0"/>
      <color rgb="FF000000"/>
      <name val="Arial"/>
      <scheme val="minor"/>
    </font>
    <font>
      <color theme="1"/>
      <name val="Calibri"/>
    </font>
    <font>
      <b/>
      <sz val="20.0"/>
      <color theme="1"/>
      <name val="Calibri"/>
    </font>
    <font/>
    <font>
      <b/>
      <color theme="1"/>
      <name val="Calibri"/>
    </font>
    <font>
      <u/>
      <color theme="1"/>
      <name val="Calibri"/>
    </font>
    <font>
      <sz val="10.0"/>
      <color theme="1"/>
      <name val="Calibri"/>
    </font>
    <font>
      <color rgb="FFFFFFFF"/>
      <name val="Calibri"/>
    </font>
    <font>
      <color rgb="FF000000"/>
      <name val="Calibri"/>
    </font>
    <font>
      <b/>
      <sz val="26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FFFF"/>
      <name val="Calibri"/>
    </font>
    <font>
      <sz val="11.0"/>
      <color theme="6"/>
      <name val="Calibri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EFEFEF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right style="medium">
        <color rgb="FF000000"/>
      </right>
      <bottom style="thin">
        <color rgb="FFEFEFEF"/>
      </bottom>
    </border>
    <border>
      <left style="medium">
        <color rgb="FF000000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right style="medium">
        <color rgb="FF000000"/>
      </right>
      <top style="thin">
        <color rgb="FFEFEFEF"/>
      </top>
      <bottom style="thin">
        <color rgb="FFEFEFEF"/>
      </bottom>
    </border>
    <border>
      <bottom style="thin">
        <color rgb="FFEFEFEF"/>
      </bottom>
    </border>
    <border>
      <left style="medium">
        <color rgb="FF000000"/>
      </left>
      <top style="thin">
        <color rgb="FFEFEFEF"/>
      </top>
    </border>
    <border>
      <top style="thin">
        <color rgb="FFEFEFEF"/>
      </top>
    </border>
    <border>
      <left style="thin">
        <color rgb="FFEFEFEF"/>
      </left>
      <top style="thin">
        <color rgb="FFEFEFEF"/>
      </top>
    </border>
    <border>
      <right style="medium">
        <color rgb="FF000000"/>
      </right>
      <top style="thin">
        <color rgb="FFEFEFEF"/>
      </top>
    </border>
    <border>
      <left style="medium">
        <color rgb="FF000000"/>
      </left>
      <top style="thin">
        <color rgb="FFEFEFEF"/>
      </top>
      <bottom style="medium">
        <color rgb="FF000000"/>
      </bottom>
    </border>
    <border>
      <left style="thin">
        <color rgb="FFEFEFEF"/>
      </left>
      <top style="thin">
        <color rgb="FFEFEFEF"/>
      </top>
      <bottom style="medium">
        <color rgb="FF000000"/>
      </bottom>
    </border>
    <border>
      <left style="thin">
        <color rgb="FFEFEFEF"/>
      </left>
      <bottom style="medium">
        <color rgb="FF000000"/>
      </bottom>
    </border>
    <border>
      <right style="medium">
        <color rgb="FF000000"/>
      </right>
      <top style="thin">
        <color rgb="FFEFEFEF"/>
      </top>
      <bottom style="medium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1" fillId="3" fontId="4" numFmtId="0" xfId="0" applyAlignment="1" applyBorder="1" applyFill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7" fillId="0" fontId="3" numFmtId="0" xfId="0" applyBorder="1" applyFont="1"/>
    <xf borderId="8" fillId="0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4" numFmtId="0" xfId="0" applyAlignment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0" fillId="0" fontId="1" numFmtId="0" xfId="0" applyFont="1"/>
    <xf borderId="0" fillId="0" fontId="7" numFmtId="0" xfId="0" applyFont="1"/>
    <xf borderId="0" fillId="0" fontId="8" numFmtId="0" xfId="0" applyFont="1"/>
    <xf borderId="1" fillId="2" fontId="9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1" fillId="3" fontId="10" numFmtId="0" xfId="0" applyAlignment="1" applyBorder="1" applyFont="1">
      <alignment horizontal="center" readingOrder="0" vertical="center"/>
    </xf>
    <xf borderId="1" fillId="6" fontId="10" numFmtId="0" xfId="0" applyAlignment="1" applyBorder="1" applyFill="1" applyFont="1">
      <alignment horizontal="center" readingOrder="0" vertical="center"/>
    </xf>
    <xf borderId="1" fillId="7" fontId="10" numFmtId="0" xfId="0" applyAlignment="1" applyBorder="1" applyFill="1" applyFont="1">
      <alignment horizontal="center" readingOrder="0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8" fontId="11" numFmtId="164" xfId="0" applyAlignment="1" applyBorder="1" applyFill="1" applyFont="1" applyNumberFormat="1">
      <alignment horizontal="center" vertical="center"/>
    </xf>
    <xf borderId="20" fillId="0" fontId="3" numFmtId="0" xfId="0" applyBorder="1" applyFont="1"/>
    <xf borderId="19" fillId="8" fontId="11" numFmtId="165" xfId="0" applyAlignment="1" applyBorder="1" applyFont="1" applyNumberFormat="1">
      <alignment horizontal="center" vertical="center"/>
    </xf>
    <xf borderId="0" fillId="0" fontId="7" numFmtId="4" xfId="0" applyFont="1" applyNumberFormat="1"/>
    <xf borderId="1" fillId="3" fontId="12" numFmtId="0" xfId="0" applyAlignment="1" applyBorder="1" applyFont="1">
      <alignment horizontal="center"/>
    </xf>
    <xf borderId="1" fillId="6" fontId="12" numFmtId="0" xfId="0" applyAlignment="1" applyBorder="1" applyFont="1">
      <alignment horizontal="center"/>
    </xf>
    <xf borderId="16" fillId="2" fontId="13" numFmtId="0" xfId="0" applyAlignment="1" applyBorder="1" applyFont="1">
      <alignment horizontal="center"/>
    </xf>
    <xf borderId="0" fillId="2" fontId="13" numFmtId="0" xfId="0" applyAlignment="1" applyFont="1">
      <alignment horizontal="center" readingOrder="0"/>
    </xf>
    <xf borderId="0" fillId="2" fontId="13" numFmtId="0" xfId="0" applyAlignment="1" applyFont="1">
      <alignment horizontal="center"/>
    </xf>
    <xf borderId="16" fillId="2" fontId="13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 vertical="center"/>
    </xf>
    <xf borderId="0" fillId="2" fontId="13" numFmtId="0" xfId="0" applyAlignment="1" applyFont="1">
      <alignment horizontal="center" vertical="center"/>
    </xf>
    <xf borderId="21" fillId="9" fontId="13" numFmtId="166" xfId="0" applyAlignment="1" applyBorder="1" applyFill="1" applyFont="1" applyNumberFormat="1">
      <alignment horizontal="center"/>
    </xf>
    <xf borderId="22" fillId="9" fontId="13" numFmtId="0" xfId="0" applyAlignment="1" applyBorder="1" applyFont="1">
      <alignment horizontal="center"/>
    </xf>
    <xf borderId="23" fillId="9" fontId="13" numFmtId="167" xfId="0" applyAlignment="1" applyBorder="1" applyFont="1" applyNumberFormat="1">
      <alignment horizontal="right" readingOrder="0" vertical="center"/>
    </xf>
    <xf borderId="24" fillId="9" fontId="13" numFmtId="4" xfId="0" applyAlignment="1" applyBorder="1" applyFont="1" applyNumberFormat="1">
      <alignment horizontal="center" vertical="bottom"/>
    </xf>
    <xf borderId="0" fillId="0" fontId="14" numFmtId="0" xfId="0" applyAlignment="1" applyFont="1">
      <alignment readingOrder="0"/>
    </xf>
    <xf borderId="25" fillId="9" fontId="13" numFmtId="0" xfId="0" applyAlignment="1" applyBorder="1" applyFont="1">
      <alignment vertical="bottom"/>
    </xf>
    <xf borderId="26" fillId="0" fontId="3" numFmtId="0" xfId="0" applyBorder="1" applyFont="1"/>
    <xf borderId="27" fillId="9" fontId="13" numFmtId="167" xfId="0" applyAlignment="1" applyBorder="1" applyFont="1" applyNumberFormat="1">
      <alignment horizontal="right" readingOrder="0" vertical="center"/>
    </xf>
    <xf borderId="28" fillId="9" fontId="13" numFmtId="4" xfId="0" applyAlignment="1" applyBorder="1" applyFont="1" applyNumberFormat="1">
      <alignment horizontal="center" vertical="bottom"/>
    </xf>
    <xf borderId="28" fillId="0" fontId="3" numFmtId="0" xfId="0" applyBorder="1" applyFont="1"/>
    <xf borderId="26" fillId="9" fontId="13" numFmtId="4" xfId="0" applyAlignment="1" applyBorder="1" applyFont="1" applyNumberFormat="1">
      <alignment horizontal="center" vertical="bottom"/>
    </xf>
    <xf borderId="27" fillId="8" fontId="13" numFmtId="167" xfId="0" applyAlignment="1" applyBorder="1" applyFont="1" applyNumberFormat="1">
      <alignment horizontal="right" readingOrder="0" vertical="center"/>
    </xf>
    <xf borderId="28" fillId="8" fontId="13" numFmtId="4" xfId="0" applyAlignment="1" applyBorder="1" applyFont="1" applyNumberFormat="1">
      <alignment horizontal="center" vertical="center"/>
    </xf>
    <xf borderId="27" fillId="8" fontId="13" numFmtId="165" xfId="0" applyAlignment="1" applyBorder="1" applyFont="1" applyNumberFormat="1">
      <alignment horizontal="center" vertical="center"/>
    </xf>
    <xf borderId="27" fillId="8" fontId="15" numFmtId="0" xfId="0" applyAlignment="1" applyBorder="1" applyFont="1">
      <alignment horizontal="center" vertical="center"/>
    </xf>
    <xf borderId="27" fillId="8" fontId="13" numFmtId="0" xfId="0" applyAlignment="1" applyBorder="1" applyFont="1">
      <alignment horizontal="center" vertical="center"/>
    </xf>
    <xf borderId="27" fillId="8" fontId="13" numFmtId="166" xfId="0" applyAlignment="1" applyBorder="1" applyFont="1" applyNumberFormat="1">
      <alignment horizontal="center" vertical="center"/>
    </xf>
    <xf borderId="29" fillId="0" fontId="3" numFmtId="0" xfId="0" applyBorder="1" applyFont="1"/>
    <xf borderId="30" fillId="9" fontId="13" numFmtId="4" xfId="0" applyAlignment="1" applyBorder="1" applyFont="1" applyNumberFormat="1">
      <alignment horizontal="center" vertical="bottom"/>
    </xf>
    <xf borderId="30" fillId="0" fontId="3" numFmtId="0" xfId="0" applyBorder="1" applyFont="1"/>
    <xf borderId="22" fillId="9" fontId="13" numFmtId="4" xfId="0" applyAlignment="1" applyBorder="1" applyFont="1" applyNumberFormat="1">
      <alignment horizontal="center" vertical="bottom"/>
    </xf>
    <xf borderId="23" fillId="8" fontId="13" numFmtId="167" xfId="0" applyAlignment="1" applyBorder="1" applyFont="1" applyNumberFormat="1">
      <alignment horizontal="right" readingOrder="0" vertical="center"/>
    </xf>
    <xf borderId="30" fillId="8" fontId="13" numFmtId="4" xfId="0" applyAlignment="1" applyBorder="1" applyFont="1" applyNumberFormat="1">
      <alignment horizontal="center" vertical="center"/>
    </xf>
    <xf borderId="25" fillId="9" fontId="13" numFmtId="0" xfId="0" applyAlignment="1" applyBorder="1" applyFont="1">
      <alignment readingOrder="0" vertical="bottom"/>
    </xf>
    <xf borderId="30" fillId="9" fontId="13" numFmtId="4" xfId="0" applyAlignment="1" applyBorder="1" applyFont="1" applyNumberFormat="1">
      <alignment horizontal="center" readingOrder="0"/>
    </xf>
    <xf borderId="22" fillId="9" fontId="13" numFmtId="4" xfId="0" applyAlignment="1" applyBorder="1" applyFont="1" applyNumberFormat="1">
      <alignment horizontal="center" readingOrder="0"/>
    </xf>
    <xf borderId="25" fillId="9" fontId="13" numFmtId="0" xfId="0" applyAlignment="1" applyBorder="1" applyFont="1">
      <alignment readingOrder="0"/>
    </xf>
    <xf borderId="30" fillId="9" fontId="13" numFmtId="4" xfId="0" applyAlignment="1" applyBorder="1" applyFont="1" applyNumberFormat="1">
      <alignment horizontal="center" readingOrder="0" vertical="center"/>
    </xf>
    <xf borderId="31" fillId="9" fontId="13" numFmtId="0" xfId="0" applyAlignment="1" applyBorder="1" applyFont="1">
      <alignment readingOrder="0"/>
    </xf>
    <xf borderId="32" fillId="0" fontId="3" numFmtId="0" xfId="0" applyBorder="1" applyFont="1"/>
    <xf borderId="32" fillId="8" fontId="13" numFmtId="4" xfId="0" applyAlignment="1" applyBorder="1" applyFont="1" applyNumberFormat="1">
      <alignment horizontal="center" vertical="center"/>
    </xf>
    <xf borderId="33" fillId="8" fontId="13" numFmtId="165" xfId="0" applyAlignment="1" applyBorder="1" applyFont="1" applyNumberFormat="1">
      <alignment horizontal="center" vertical="center"/>
    </xf>
    <xf borderId="33" fillId="8" fontId="15" numFmtId="0" xfId="0" applyAlignment="1" applyBorder="1" applyFont="1">
      <alignment horizontal="center" vertical="center"/>
    </xf>
    <xf borderId="33" fillId="8" fontId="13" numFmtId="0" xfId="0" applyAlignment="1" applyBorder="1" applyFont="1">
      <alignment horizontal="center" vertical="center"/>
    </xf>
    <xf borderId="33" fillId="8" fontId="13" numFmtId="166" xfId="0" applyAlignment="1" applyBorder="1" applyFont="1" applyNumberFormat="1">
      <alignment horizontal="center" vertical="center"/>
    </xf>
    <xf borderId="34" fillId="0" fontId="3" numFmtId="0" xfId="0" applyBorder="1" applyFont="1"/>
    <xf borderId="4" fillId="7" fontId="12" numFmtId="0" xfId="0" applyBorder="1" applyFont="1"/>
    <xf borderId="5" fillId="7" fontId="12" numFmtId="164" xfId="0" applyAlignment="1" applyBorder="1" applyFont="1" applyNumberFormat="1">
      <alignment horizontal="right" vertical="center"/>
    </xf>
    <xf borderId="5" fillId="7" fontId="12" numFmtId="4" xfId="0" applyAlignment="1" applyBorder="1" applyFont="1" applyNumberFormat="1">
      <alignment horizontal="center" vertical="center"/>
    </xf>
    <xf borderId="5" fillId="7" fontId="13" numFmtId="165" xfId="0" applyAlignment="1" applyBorder="1" applyFont="1" applyNumberFormat="1">
      <alignment horizontal="center" vertical="center"/>
    </xf>
    <xf borderId="5" fillId="7" fontId="13" numFmtId="0" xfId="0" applyAlignment="1" applyBorder="1" applyFont="1">
      <alignment horizontal="center" vertical="center"/>
    </xf>
    <xf borderId="24" fillId="9" fontId="13" numFmtId="4" xfId="0" applyAlignment="1" applyBorder="1" applyFont="1" applyNumberFormat="1">
      <alignment horizontal="center"/>
    </xf>
    <xf borderId="24" fillId="9" fontId="13" numFmtId="4" xfId="0" applyAlignment="1" applyBorder="1" applyFont="1" applyNumberFormat="1">
      <alignment horizontal="center" readingOrder="0"/>
    </xf>
    <xf borderId="16" fillId="0" fontId="2" numFmtId="10" xfId="0" applyAlignment="1" applyBorder="1" applyFont="1" applyNumberFormat="1">
      <alignment horizontal="center" vertical="center"/>
    </xf>
    <xf borderId="22" fillId="9" fontId="13" numFmtId="0" xfId="0" applyAlignment="1" applyBorder="1" applyFont="1">
      <alignment horizontal="center" readingOrder="0"/>
    </xf>
    <xf borderId="25" fillId="9" fontId="16" numFmtId="166" xfId="0" applyAlignment="1" applyBorder="1" applyFont="1" applyNumberFormat="1">
      <alignment horizontal="center" readingOrder="0" vertical="center"/>
    </xf>
    <xf borderId="27" fillId="9" fontId="13" numFmtId="0" xfId="0" applyAlignment="1" applyBorder="1" applyFont="1">
      <alignment horizontal="center" readingOrder="0" vertical="center"/>
    </xf>
    <xf borderId="29" fillId="9" fontId="16" numFmtId="4" xfId="0" applyAlignment="1" applyBorder="1" applyFont="1" applyNumberFormat="1">
      <alignment horizontal="center" readingOrder="0" vertical="center"/>
    </xf>
    <xf borderId="16" fillId="4" fontId="13" numFmtId="0" xfId="0" applyAlignment="1" applyBorder="1" applyFont="1">
      <alignment readingOrder="0"/>
    </xf>
    <xf borderId="0" fillId="2" fontId="1" numFmtId="0" xfId="0" applyAlignment="1" applyFont="1">
      <alignment horizontal="right"/>
    </xf>
    <xf borderId="7" fillId="2" fontId="1" numFmtId="0" xfId="0" applyAlignment="1" applyBorder="1" applyFont="1">
      <alignment horizontal="center"/>
    </xf>
    <xf borderId="16" fillId="5" fontId="13" numFmtId="0" xfId="0" applyAlignment="1" applyBorder="1" applyFont="1">
      <alignment readingOrder="0"/>
    </xf>
    <xf borderId="16" fillId="3" fontId="13" numFmtId="0" xfId="0" applyAlignment="1" applyBorder="1" applyFont="1">
      <alignment readingOrder="0"/>
    </xf>
    <xf borderId="16" fillId="6" fontId="13" numFmtId="0" xfId="0" applyAlignment="1" applyBorder="1" applyFont="1">
      <alignment readingOrder="0"/>
    </xf>
    <xf borderId="16" fillId="7" fontId="13" numFmtId="0" xfId="0" applyAlignment="1" applyBorder="1" applyFont="1">
      <alignment readingOrder="0"/>
    </xf>
    <xf borderId="0" fillId="2" fontId="1" numFmtId="0" xfId="0" applyAlignment="1" applyFont="1">
      <alignment horizontal="center"/>
    </xf>
    <xf borderId="4" fillId="4" fontId="13" numFmtId="0" xfId="0" applyAlignment="1" applyBorder="1" applyFont="1">
      <alignment readingOrder="0"/>
    </xf>
    <xf borderId="5" fillId="2" fontId="1" numFmtId="166" xfId="0" applyAlignment="1" applyBorder="1" applyFont="1" applyNumberFormat="1">
      <alignment horizontal="center"/>
    </xf>
    <xf borderId="4" fillId="5" fontId="13" numFmtId="0" xfId="0" applyAlignment="1" applyBorder="1" applyFont="1">
      <alignment readingOrder="0"/>
    </xf>
    <xf borderId="4" fillId="3" fontId="13" numFmtId="0" xfId="0" applyAlignment="1" applyBorder="1" applyFont="1">
      <alignment readingOrder="0"/>
    </xf>
    <xf borderId="4" fillId="6" fontId="13" numFmtId="0" xfId="0" applyAlignment="1" applyBorder="1" applyFont="1">
      <alignment readingOrder="0"/>
    </xf>
    <xf borderId="4" fillId="7" fontId="13" numFmtId="0" xfId="0" applyAlignment="1" applyBorder="1" applyFont="1">
      <alignment readingOrder="0"/>
    </xf>
    <xf borderId="25" fillId="9" fontId="13" numFmtId="166" xfId="0" applyAlignment="1" applyBorder="1" applyFont="1" applyNumberFormat="1">
      <alignment horizontal="center" readingOrder="0" vertical="center"/>
    </xf>
    <xf borderId="29" fillId="9" fontId="13" numFmtId="4" xfId="0" applyAlignment="1" applyBorder="1" applyFont="1" applyNumberFormat="1">
      <alignment horizontal="center" readingOrder="0" vertical="center"/>
    </xf>
    <xf borderId="25" fillId="9" fontId="13" numFmtId="166" xfId="0" applyAlignment="1" applyBorder="1" applyFont="1" applyNumberFormat="1">
      <alignment horizontal="center" vertical="center"/>
    </xf>
    <xf borderId="27" fillId="9" fontId="13" numFmtId="0" xfId="0" applyAlignment="1" applyBorder="1" applyFont="1">
      <alignment horizontal="center" vertical="center"/>
    </xf>
    <xf borderId="29" fillId="9" fontId="13" numFmtId="4" xfId="0" applyAlignment="1" applyBorder="1" applyFont="1" applyNumberFormat="1">
      <alignment horizontal="center" vertical="center"/>
    </xf>
    <xf borderId="35" fillId="9" fontId="13" numFmtId="166" xfId="0" applyAlignment="1" applyBorder="1" applyFont="1" applyNumberFormat="1">
      <alignment horizontal="center" vertical="center"/>
    </xf>
    <xf borderId="36" fillId="9" fontId="13" numFmtId="0" xfId="0" applyAlignment="1" applyBorder="1" applyFont="1">
      <alignment horizontal="center" vertical="center"/>
    </xf>
    <xf borderId="37" fillId="9" fontId="13" numFmtId="167" xfId="0" applyAlignment="1" applyBorder="1" applyFont="1" applyNumberFormat="1">
      <alignment horizontal="right" readingOrder="0" vertical="center"/>
    </xf>
    <xf borderId="38" fillId="9" fontId="13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AD5BE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'SAVINGS TRACKER'!$J$40:$J$41</c:f>
            </c:strRef>
          </c:cat>
          <c:val>
            <c:numRef>
              <c:f>'SAVINGS TRACKER'!$J$40:$J$41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TRACKER'!$O$40:$O$41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TRACKER'!$T$40:$T$41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TRACKER'!$Y$40:$Y$41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TRACKER'!$AD$40:$AD$41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AD5BE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TRACKER'!$J$59:$J$60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TRACKER'!$O$59:$O$60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TRACKER'!$T$59:$T$60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TRACKER'!$Y$59:$Y$60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TRACKER'!$AD$59:$AD$60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FAD5BE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TRACKER'!$J$78:$J$79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TRACKER'!$O$78:$O$79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3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TRACKER'!$T$78:$T$79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4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TRACKER'!$Y$78:$Y$79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'SAVINGS TRACKER'!$AD$78:$AD$79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26</xdr:row>
      <xdr:rowOff>209550</xdr:rowOff>
    </xdr:from>
    <xdr:ext cx="2686050" cy="2352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209550</xdr:colOff>
      <xdr:row>26</xdr:row>
      <xdr:rowOff>209550</xdr:rowOff>
    </xdr:from>
    <xdr:ext cx="2686050" cy="2352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209550</xdr:colOff>
      <xdr:row>26</xdr:row>
      <xdr:rowOff>209550</xdr:rowOff>
    </xdr:from>
    <xdr:ext cx="2686050" cy="23526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20</xdr:col>
      <xdr:colOff>209550</xdr:colOff>
      <xdr:row>26</xdr:row>
      <xdr:rowOff>209550</xdr:rowOff>
    </xdr:from>
    <xdr:ext cx="2686050" cy="2352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209550</xdr:colOff>
      <xdr:row>26</xdr:row>
      <xdr:rowOff>209550</xdr:rowOff>
    </xdr:from>
    <xdr:ext cx="2686050" cy="2352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209550</xdr:colOff>
      <xdr:row>45</xdr:row>
      <xdr:rowOff>161925</xdr:rowOff>
    </xdr:from>
    <xdr:ext cx="2686050" cy="22193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209550</xdr:colOff>
      <xdr:row>45</xdr:row>
      <xdr:rowOff>161925</xdr:rowOff>
    </xdr:from>
    <xdr:ext cx="2686050" cy="22193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209550</xdr:colOff>
      <xdr:row>45</xdr:row>
      <xdr:rowOff>161925</xdr:rowOff>
    </xdr:from>
    <xdr:ext cx="2686050" cy="22193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20</xdr:col>
      <xdr:colOff>209550</xdr:colOff>
      <xdr:row>45</xdr:row>
      <xdr:rowOff>161925</xdr:rowOff>
    </xdr:from>
    <xdr:ext cx="2686050" cy="22193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209550</xdr:colOff>
      <xdr:row>45</xdr:row>
      <xdr:rowOff>161925</xdr:rowOff>
    </xdr:from>
    <xdr:ext cx="2686050" cy="22193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209550</xdr:colOff>
      <xdr:row>64</xdr:row>
      <xdr:rowOff>161925</xdr:rowOff>
    </xdr:from>
    <xdr:ext cx="2686050" cy="2219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209550</xdr:colOff>
      <xdr:row>64</xdr:row>
      <xdr:rowOff>161925</xdr:rowOff>
    </xdr:from>
    <xdr:ext cx="2686050" cy="22193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15</xdr:col>
      <xdr:colOff>209550</xdr:colOff>
      <xdr:row>64</xdr:row>
      <xdr:rowOff>161925</xdr:rowOff>
    </xdr:from>
    <xdr:ext cx="2686050" cy="22193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20</xdr:col>
      <xdr:colOff>209550</xdr:colOff>
      <xdr:row>64</xdr:row>
      <xdr:rowOff>161925</xdr:rowOff>
    </xdr:from>
    <xdr:ext cx="2686050" cy="22193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25</xdr:col>
      <xdr:colOff>209550</xdr:colOff>
      <xdr:row>64</xdr:row>
      <xdr:rowOff>161925</xdr:rowOff>
    </xdr:from>
    <xdr:ext cx="2686050" cy="221932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AD5BE"/>
      </a:accent1>
      <a:accent2>
        <a:srgbClr val="EFD2E0"/>
      </a:accent2>
      <a:accent3>
        <a:srgbClr val="CAE6ED"/>
      </a:accent3>
      <a:accent4>
        <a:srgbClr val="D9EAD3"/>
      </a:accent4>
      <a:accent5>
        <a:srgbClr val="FFF2CC"/>
      </a:accent5>
      <a:accent6>
        <a:srgbClr val="EBEFF2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X89HUpmGtGgVRLg0pRZ7wAUg5obkkmNCZFal4W19Eo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15" max="15" width="20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1</v>
      </c>
      <c r="C6" s="3"/>
      <c r="D6" s="3"/>
      <c r="E6" s="3"/>
      <c r="F6" s="3"/>
      <c r="G6" s="3"/>
      <c r="H6" s="3"/>
      <c r="I6" s="3"/>
      <c r="J6" s="3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2</v>
      </c>
      <c r="K7" s="10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 t="s">
        <v>3</v>
      </c>
      <c r="C8" s="12"/>
      <c r="D8" s="12"/>
      <c r="E8" s="12"/>
      <c r="F8" s="12"/>
      <c r="G8" s="12"/>
      <c r="H8" s="12"/>
      <c r="I8" s="12"/>
      <c r="J8" s="12"/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4"/>
      <c r="K9" s="1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4"/>
      <c r="K10" s="1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4"/>
      <c r="K11" s="1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/>
      <c r="K12" s="15"/>
      <c r="L12" s="1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4"/>
      <c r="K13" s="1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6"/>
      <c r="C14" s="17"/>
      <c r="D14" s="17"/>
      <c r="E14" s="17"/>
      <c r="F14" s="17"/>
      <c r="G14" s="17"/>
      <c r="H14" s="17"/>
      <c r="I14" s="17"/>
      <c r="J14" s="17"/>
      <c r="K14" s="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9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 t="s">
        <v>4</v>
      </c>
      <c r="C17" s="3"/>
      <c r="D17" s="3"/>
      <c r="E17" s="3"/>
      <c r="F17" s="3"/>
      <c r="G17" s="3"/>
      <c r="H17" s="3"/>
      <c r="I17" s="3"/>
      <c r="J17" s="3"/>
      <c r="K17" s="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 t="s">
        <v>5</v>
      </c>
      <c r="C18" s="6"/>
      <c r="D18" s="6"/>
      <c r="E18" s="6"/>
      <c r="F18" s="6"/>
      <c r="G18" s="6"/>
      <c r="H18" s="6"/>
      <c r="I18" s="6"/>
      <c r="J18" s="6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6">
    <mergeCell ref="B2:K3"/>
    <mergeCell ref="B6:K6"/>
    <mergeCell ref="B7:K7"/>
    <mergeCell ref="B8:K14"/>
    <mergeCell ref="B17:K17"/>
    <mergeCell ref="B18:K18"/>
  </mergeCells>
  <hyperlinks>
    <hyperlink r:id="rId1" ref="B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14.88"/>
    <col customWidth="1" min="3" max="3" width="19.75"/>
    <col customWidth="1" min="4" max="4" width="2.63"/>
    <col customWidth="1" min="5" max="5" width="14.88"/>
    <col customWidth="1" min="6" max="6" width="3.13"/>
    <col customWidth="1" min="7" max="7" width="2.63"/>
    <col customWidth="1" min="8" max="8" width="18.25"/>
    <col customWidth="1" min="9" max="9" width="2.63"/>
    <col customWidth="1" min="10" max="10" width="11.5"/>
    <col customWidth="1" min="11" max="11" width="3.13"/>
    <col customWidth="1" min="12" max="12" width="2.63"/>
    <col customWidth="1" min="13" max="13" width="18.25"/>
    <col customWidth="1" min="14" max="14" width="2.63"/>
    <col customWidth="1" min="15" max="15" width="11.5"/>
    <col customWidth="1" min="16" max="16" width="3.13"/>
    <col customWidth="1" min="17" max="17" width="2.63"/>
    <col customWidth="1" min="18" max="18" width="18.25"/>
    <col customWidth="1" min="19" max="19" width="2.63"/>
    <col customWidth="1" min="20" max="20" width="11.5"/>
    <col customWidth="1" min="21" max="21" width="3.13"/>
    <col customWidth="1" min="22" max="22" width="2.63"/>
    <col customWidth="1" min="23" max="23" width="18.25"/>
    <col customWidth="1" min="24" max="24" width="2.63"/>
    <col customWidth="1" min="25" max="25" width="11.5"/>
    <col customWidth="1" min="26" max="26" width="3.13"/>
    <col customWidth="1" min="27" max="27" width="2.63"/>
    <col customWidth="1" min="28" max="28" width="18.25"/>
    <col customWidth="1" min="29" max="29" width="2.63"/>
    <col customWidth="1" min="30" max="30" width="11.5"/>
  </cols>
  <sheetData>
    <row r="1">
      <c r="A1" s="22"/>
      <c r="B1" s="22"/>
      <c r="C1" s="22"/>
      <c r="D1" s="22"/>
      <c r="E1" s="22"/>
      <c r="F1" s="23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3"/>
      <c r="AF1" s="24"/>
      <c r="AG1" s="24"/>
      <c r="AH1" s="24"/>
      <c r="AI1" s="24"/>
      <c r="AJ1" s="22"/>
      <c r="AK1" s="22"/>
    </row>
    <row r="2">
      <c r="A2" s="22"/>
      <c r="B2" s="25" t="s">
        <v>6</v>
      </c>
      <c r="C2" s="3"/>
      <c r="D2" s="3"/>
      <c r="E2" s="4"/>
      <c r="F2" s="23"/>
      <c r="G2" s="26" t="s">
        <v>7</v>
      </c>
      <c r="H2" s="3"/>
      <c r="I2" s="3"/>
      <c r="J2" s="4"/>
      <c r="K2" s="22"/>
      <c r="L2" s="27" t="s">
        <v>8</v>
      </c>
      <c r="M2" s="3"/>
      <c r="N2" s="3"/>
      <c r="O2" s="4"/>
      <c r="P2" s="22"/>
      <c r="Q2" s="28" t="s">
        <v>9</v>
      </c>
      <c r="R2" s="3"/>
      <c r="S2" s="3"/>
      <c r="T2" s="4"/>
      <c r="U2" s="22"/>
      <c r="V2" s="29" t="s">
        <v>10</v>
      </c>
      <c r="W2" s="3"/>
      <c r="X2" s="3"/>
      <c r="Y2" s="4"/>
      <c r="Z2" s="22"/>
      <c r="AA2" s="30" t="s">
        <v>11</v>
      </c>
      <c r="AB2" s="3"/>
      <c r="AC2" s="3"/>
      <c r="AD2" s="4"/>
      <c r="AE2" s="23"/>
      <c r="AF2" s="24"/>
      <c r="AG2" s="24"/>
      <c r="AH2" s="24"/>
      <c r="AI2" s="24"/>
      <c r="AJ2" s="22"/>
      <c r="AK2" s="22"/>
    </row>
    <row r="3">
      <c r="A3" s="22"/>
      <c r="B3" s="31"/>
      <c r="E3" s="10"/>
      <c r="F3" s="23"/>
      <c r="G3" s="32"/>
      <c r="H3" s="17"/>
      <c r="I3" s="17"/>
      <c r="J3" s="33"/>
      <c r="K3" s="22"/>
      <c r="L3" s="32"/>
      <c r="M3" s="17"/>
      <c r="N3" s="17"/>
      <c r="O3" s="33"/>
      <c r="P3" s="22"/>
      <c r="Q3" s="32"/>
      <c r="R3" s="17"/>
      <c r="S3" s="17"/>
      <c r="T3" s="33"/>
      <c r="U3" s="22"/>
      <c r="V3" s="32"/>
      <c r="W3" s="17"/>
      <c r="X3" s="17"/>
      <c r="Y3" s="33"/>
      <c r="Z3" s="22"/>
      <c r="AA3" s="32"/>
      <c r="AB3" s="17"/>
      <c r="AC3" s="17"/>
      <c r="AD3" s="33"/>
      <c r="AE3" s="23"/>
      <c r="AF3" s="24"/>
      <c r="AG3" s="24"/>
      <c r="AH3" s="24"/>
      <c r="AI3" s="24"/>
      <c r="AJ3" s="22"/>
      <c r="AK3" s="22"/>
    </row>
    <row r="4">
      <c r="A4" s="22"/>
      <c r="B4" s="31"/>
      <c r="E4" s="10"/>
      <c r="F4" s="23"/>
      <c r="G4" s="34" t="str">
        <f>CONCATENATE(SETUP!B18,TEXT(G6,"#,##0"))</f>
        <v>$0</v>
      </c>
      <c r="H4" s="12"/>
      <c r="I4" s="12"/>
      <c r="J4" s="35"/>
      <c r="K4" s="22"/>
      <c r="L4" s="34" t="str">
        <f>CONCATENATE(SETUP!B18,TEXT(L6,"#,##0"))</f>
        <v>$0</v>
      </c>
      <c r="M4" s="12"/>
      <c r="N4" s="12"/>
      <c r="O4" s="35"/>
      <c r="P4" s="22"/>
      <c r="Q4" s="34" t="str">
        <f>CONCATENATE(SETUP!B18,TEXT(Q6,"#,##0"))</f>
        <v>$0</v>
      </c>
      <c r="R4" s="12"/>
      <c r="S4" s="12"/>
      <c r="T4" s="35"/>
      <c r="U4" s="22"/>
      <c r="V4" s="36" t="str">
        <f>IF(G6=0,"",L6/G6)</f>
        <v/>
      </c>
      <c r="W4" s="12"/>
      <c r="X4" s="12"/>
      <c r="Y4" s="35"/>
      <c r="Z4" s="22"/>
      <c r="AA4" s="34" t="str">
        <f>CONCATENATE(SETUP!B18,TEXT(AA6,"#,##0"))</f>
        <v>$0</v>
      </c>
      <c r="AB4" s="12"/>
      <c r="AC4" s="12"/>
      <c r="AD4" s="35"/>
      <c r="AE4" s="23"/>
      <c r="AF4" s="24"/>
      <c r="AG4" s="24"/>
      <c r="AH4" s="24"/>
      <c r="AI4" s="24"/>
      <c r="AJ4" s="22"/>
      <c r="AK4" s="22"/>
    </row>
    <row r="5">
      <c r="A5" s="22"/>
      <c r="B5" s="5"/>
      <c r="C5" s="6"/>
      <c r="D5" s="6"/>
      <c r="E5" s="7"/>
      <c r="F5" s="23"/>
      <c r="G5" s="5"/>
      <c r="H5" s="6"/>
      <c r="I5" s="6"/>
      <c r="J5" s="7"/>
      <c r="K5" s="22"/>
      <c r="L5" s="5"/>
      <c r="M5" s="6"/>
      <c r="N5" s="6"/>
      <c r="O5" s="7"/>
      <c r="P5" s="22"/>
      <c r="Q5" s="5"/>
      <c r="R5" s="6"/>
      <c r="S5" s="6"/>
      <c r="T5" s="7"/>
      <c r="U5" s="22"/>
      <c r="V5" s="5"/>
      <c r="W5" s="6"/>
      <c r="X5" s="6"/>
      <c r="Y5" s="7"/>
      <c r="Z5" s="22"/>
      <c r="AA5" s="5"/>
      <c r="AB5" s="6"/>
      <c r="AC5" s="6"/>
      <c r="AD5" s="7"/>
      <c r="AE5" s="23"/>
      <c r="AF5" s="24"/>
      <c r="AG5" s="24"/>
      <c r="AH5" s="24"/>
      <c r="AI5" s="24"/>
      <c r="AJ5" s="22"/>
      <c r="AK5" s="22"/>
    </row>
    <row r="6">
      <c r="A6" s="23"/>
      <c r="B6" s="23"/>
      <c r="C6" s="23"/>
      <c r="D6" s="23"/>
      <c r="E6" s="23"/>
      <c r="F6" s="23"/>
      <c r="G6" s="37">
        <f>J24</f>
        <v>0</v>
      </c>
      <c r="H6" s="23"/>
      <c r="I6" s="23"/>
      <c r="J6" s="23"/>
      <c r="K6" s="23"/>
      <c r="L6" s="37">
        <f>R24</f>
        <v>0</v>
      </c>
      <c r="M6" s="23"/>
      <c r="N6" s="23"/>
      <c r="O6" s="23"/>
      <c r="P6" s="23"/>
      <c r="Q6" s="37">
        <f>T24</f>
        <v>0</v>
      </c>
      <c r="R6" s="23"/>
      <c r="S6" s="23"/>
      <c r="T6" s="23"/>
      <c r="U6" s="23"/>
      <c r="V6" s="23"/>
      <c r="W6" s="23"/>
      <c r="X6" s="23"/>
      <c r="Y6" s="23"/>
      <c r="Z6" s="23"/>
      <c r="AA6" s="37">
        <f>M24</f>
        <v>0</v>
      </c>
      <c r="AB6" s="23"/>
      <c r="AC6" s="23"/>
      <c r="AD6" s="23"/>
      <c r="AE6" s="23"/>
      <c r="AF6" s="24"/>
      <c r="AG6" s="24"/>
      <c r="AH6" s="24"/>
      <c r="AI6" s="24"/>
      <c r="AJ6" s="23"/>
      <c r="AK6" s="23"/>
    </row>
    <row r="7">
      <c r="A7" s="22"/>
      <c r="B7" s="38" t="s">
        <v>12</v>
      </c>
      <c r="C7" s="3"/>
      <c r="D7" s="3"/>
      <c r="E7" s="4"/>
      <c r="F7" s="23"/>
      <c r="G7" s="39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4"/>
      <c r="AE7" s="23"/>
      <c r="AF7" s="24"/>
      <c r="AG7" s="24"/>
      <c r="AH7" s="24"/>
      <c r="AI7" s="24"/>
      <c r="AJ7" s="22"/>
      <c r="AK7" s="22"/>
    </row>
    <row r="8">
      <c r="A8" s="22"/>
      <c r="B8" s="40" t="s">
        <v>14</v>
      </c>
      <c r="C8" s="41" t="s">
        <v>15</v>
      </c>
      <c r="D8" s="42" t="s">
        <v>16</v>
      </c>
      <c r="E8" s="10"/>
      <c r="F8" s="23"/>
      <c r="G8" s="43" t="s">
        <v>15</v>
      </c>
      <c r="I8" s="44" t="s">
        <v>17</v>
      </c>
      <c r="L8" s="45" t="s">
        <v>18</v>
      </c>
      <c r="N8" s="45" t="s">
        <v>19</v>
      </c>
      <c r="Q8" s="45" t="s">
        <v>20</v>
      </c>
      <c r="S8" s="45" t="s">
        <v>21</v>
      </c>
      <c r="V8" s="45" t="s">
        <v>22</v>
      </c>
      <c r="AA8" s="44" t="s">
        <v>23</v>
      </c>
      <c r="AC8" s="45" t="s">
        <v>24</v>
      </c>
      <c r="AD8" s="10"/>
      <c r="AE8" s="23"/>
      <c r="AF8" s="24"/>
      <c r="AG8" s="24"/>
      <c r="AH8" s="24"/>
      <c r="AI8" s="24"/>
      <c r="AJ8" s="22"/>
      <c r="AK8" s="22"/>
    </row>
    <row r="9">
      <c r="A9" s="22"/>
      <c r="B9" s="46"/>
      <c r="C9" s="47"/>
      <c r="D9" s="48" t="str">
        <f>IF(E9="","",SETUP!$B$18)</f>
        <v/>
      </c>
      <c r="E9" s="49"/>
      <c r="F9" s="50">
        <v>1.0</v>
      </c>
      <c r="G9" s="51"/>
      <c r="H9" s="52"/>
      <c r="I9" s="53" t="str">
        <f>IF(J9="","",SETUP!$B$18)</f>
        <v/>
      </c>
      <c r="J9" s="54"/>
      <c r="K9" s="55"/>
      <c r="L9" s="53" t="str">
        <f>IF(M9="","",SETUP!$B$18)</f>
        <v/>
      </c>
      <c r="M9" s="56"/>
      <c r="N9" s="53" t="str">
        <f>IF(O9="","",SETUP!$B$18)</f>
        <v/>
      </c>
      <c r="O9" s="54"/>
      <c r="P9" s="55"/>
      <c r="Q9" s="57" t="str">
        <f>IF(R9="","",SETUP!$B$18)</f>
        <v/>
      </c>
      <c r="R9" s="58" t="str">
        <f t="shared" ref="R9:R23" si="1">IF(G9="","",O9+SUMIF($C$9:$C$81,G9,$E$9:$E$81))</f>
        <v/>
      </c>
      <c r="S9" s="57" t="str">
        <f>IF(T9="","",SETUP!$B$18)</f>
        <v/>
      </c>
      <c r="T9" s="58" t="str">
        <f t="shared" ref="T9:T23" si="2">IF(G9="","",J9-R9)</f>
        <v/>
      </c>
      <c r="U9" s="55"/>
      <c r="V9" s="59" t="str">
        <f t="shared" ref="V9:V23" si="3">IF(G9="","",R9/J9)</f>
        <v/>
      </c>
      <c r="W9" s="55"/>
      <c r="X9" s="60" t="str">
        <f>IFERROR(__xludf.DUMMYFUNCTION("if(V9="""","""",SPARKLINE(V9,{""charttype"",""bar"";""max"",1;""color1"",""#cae6ed""}))"),"")</f>
        <v/>
      </c>
      <c r="Y9" s="55"/>
      <c r="Z9" s="55"/>
      <c r="AA9" s="61" t="str">
        <f t="shared" ref="AA9:AA23" si="4">IF(G9="","",ROUND(T9/M9,0))</f>
        <v/>
      </c>
      <c r="AB9" s="55"/>
      <c r="AC9" s="62" t="str">
        <f t="shared" ref="AC9:AC23" si="5">IF(G9="","",TODAY()+AA9*30)</f>
        <v/>
      </c>
      <c r="AD9" s="63"/>
      <c r="AE9" s="23">
        <f t="shared" ref="AE9:AE23" si="6">IF(V9="",0,V9)</f>
        <v>0</v>
      </c>
      <c r="AF9" s="24"/>
      <c r="AG9" s="24"/>
      <c r="AH9" s="24"/>
      <c r="AI9" s="24"/>
      <c r="AJ9" s="22"/>
      <c r="AK9" s="22"/>
    </row>
    <row r="10">
      <c r="A10" s="22"/>
      <c r="B10" s="46"/>
      <c r="C10" s="47"/>
      <c r="D10" s="48" t="str">
        <f>IF(E10="","",SETUP!$B$18)</f>
        <v/>
      </c>
      <c r="E10" s="49"/>
      <c r="F10" s="50">
        <v>2.0</v>
      </c>
      <c r="G10" s="51"/>
      <c r="H10" s="52"/>
      <c r="I10" s="48" t="str">
        <f>IF(J10="","",SETUP!$B$18)</f>
        <v/>
      </c>
      <c r="J10" s="64"/>
      <c r="K10" s="65"/>
      <c r="L10" s="48" t="str">
        <f>IF(M10="","",SETUP!$B$18)</f>
        <v/>
      </c>
      <c r="M10" s="66"/>
      <c r="N10" s="48" t="str">
        <f>IF(O10="","",SETUP!$B$18)</f>
        <v/>
      </c>
      <c r="O10" s="64"/>
      <c r="P10" s="65"/>
      <c r="Q10" s="67" t="str">
        <f>IF(R10="","",SETUP!$B$18)</f>
        <v/>
      </c>
      <c r="R10" s="68" t="str">
        <f t="shared" si="1"/>
        <v/>
      </c>
      <c r="S10" s="67" t="str">
        <f>IF(T10="","",SETUP!$B$18)</f>
        <v/>
      </c>
      <c r="T10" s="58" t="str">
        <f t="shared" si="2"/>
        <v/>
      </c>
      <c r="U10" s="55"/>
      <c r="V10" s="59" t="str">
        <f t="shared" si="3"/>
        <v/>
      </c>
      <c r="W10" s="55"/>
      <c r="X10" s="60" t="str">
        <f>IFERROR(__xludf.DUMMYFUNCTION("if(V10="""","""",SPARKLINE(V10,{""charttype"",""bar"";""max"",1;""color1"",""#cae6ed""}))"),"")</f>
        <v/>
      </c>
      <c r="Y10" s="55"/>
      <c r="Z10" s="55"/>
      <c r="AA10" s="61" t="str">
        <f t="shared" si="4"/>
        <v/>
      </c>
      <c r="AB10" s="55"/>
      <c r="AC10" s="62" t="str">
        <f t="shared" si="5"/>
        <v/>
      </c>
      <c r="AD10" s="63"/>
      <c r="AE10" s="23">
        <f t="shared" si="6"/>
        <v>0</v>
      </c>
      <c r="AF10" s="24"/>
      <c r="AG10" s="24"/>
      <c r="AH10" s="24"/>
      <c r="AI10" s="24"/>
      <c r="AJ10" s="22"/>
      <c r="AK10" s="22"/>
    </row>
    <row r="11">
      <c r="A11" s="22"/>
      <c r="B11" s="46"/>
      <c r="C11" s="47"/>
      <c r="D11" s="48" t="str">
        <f>IF(E11="","",SETUP!$B$18)</f>
        <v/>
      </c>
      <c r="E11" s="49"/>
      <c r="F11" s="50">
        <v>3.0</v>
      </c>
      <c r="G11" s="51"/>
      <c r="H11" s="52"/>
      <c r="I11" s="48" t="str">
        <f>IF(J11="","",SETUP!$B$18)</f>
        <v/>
      </c>
      <c r="J11" s="64"/>
      <c r="K11" s="65"/>
      <c r="L11" s="48" t="str">
        <f>IF(M11="","",SETUP!$B$18)</f>
        <v/>
      </c>
      <c r="M11" s="66"/>
      <c r="N11" s="48" t="str">
        <f>IF(O11="","",SETUP!$B$18)</f>
        <v/>
      </c>
      <c r="O11" s="64"/>
      <c r="P11" s="65"/>
      <c r="Q11" s="67" t="str">
        <f>IF(R11="","",SETUP!$B$18)</f>
        <v/>
      </c>
      <c r="R11" s="68" t="str">
        <f t="shared" si="1"/>
        <v/>
      </c>
      <c r="S11" s="67" t="str">
        <f>IF(T11="","",SETUP!$B$18)</f>
        <v/>
      </c>
      <c r="T11" s="58" t="str">
        <f t="shared" si="2"/>
        <v/>
      </c>
      <c r="U11" s="55"/>
      <c r="V11" s="59" t="str">
        <f t="shared" si="3"/>
        <v/>
      </c>
      <c r="W11" s="55"/>
      <c r="X11" s="60" t="str">
        <f>IFERROR(__xludf.DUMMYFUNCTION("if(V11="""","""",SPARKLINE(V11,{""charttype"",""bar"";""max"",1;""color1"",""#cae6ed""}))"),"")</f>
        <v/>
      </c>
      <c r="Y11" s="55"/>
      <c r="Z11" s="55"/>
      <c r="AA11" s="61" t="str">
        <f t="shared" si="4"/>
        <v/>
      </c>
      <c r="AB11" s="55"/>
      <c r="AC11" s="62" t="str">
        <f t="shared" si="5"/>
        <v/>
      </c>
      <c r="AD11" s="63"/>
      <c r="AE11" s="23">
        <f t="shared" si="6"/>
        <v>0</v>
      </c>
      <c r="AF11" s="24"/>
      <c r="AG11" s="24"/>
      <c r="AH11" s="24"/>
      <c r="AI11" s="24"/>
      <c r="AJ11" s="22"/>
      <c r="AK11" s="22"/>
    </row>
    <row r="12">
      <c r="A12" s="22"/>
      <c r="B12" s="46"/>
      <c r="C12" s="47"/>
      <c r="D12" s="48" t="str">
        <f>IF(E12="","",SETUP!$B$18)</f>
        <v/>
      </c>
      <c r="E12" s="49"/>
      <c r="F12" s="50">
        <v>4.0</v>
      </c>
      <c r="G12" s="51"/>
      <c r="H12" s="52"/>
      <c r="I12" s="48" t="str">
        <f>IF(J12="","",SETUP!$B$18)</f>
        <v/>
      </c>
      <c r="J12" s="64"/>
      <c r="K12" s="65"/>
      <c r="L12" s="48" t="str">
        <f>IF(M12="","",SETUP!$B$18)</f>
        <v/>
      </c>
      <c r="M12" s="66"/>
      <c r="N12" s="48" t="str">
        <f>IF(O12="","",SETUP!$B$18)</f>
        <v/>
      </c>
      <c r="O12" s="64"/>
      <c r="P12" s="65"/>
      <c r="Q12" s="67" t="str">
        <f>IF(R12="","",SETUP!$B$18)</f>
        <v/>
      </c>
      <c r="R12" s="68" t="str">
        <f t="shared" si="1"/>
        <v/>
      </c>
      <c r="S12" s="67" t="str">
        <f>IF(T12="","",SETUP!$B$18)</f>
        <v/>
      </c>
      <c r="T12" s="58" t="str">
        <f t="shared" si="2"/>
        <v/>
      </c>
      <c r="U12" s="55"/>
      <c r="V12" s="59" t="str">
        <f t="shared" si="3"/>
        <v/>
      </c>
      <c r="W12" s="55"/>
      <c r="X12" s="60" t="str">
        <f>IFERROR(__xludf.DUMMYFUNCTION("if(V12="""","""",SPARKLINE(V12,{""charttype"",""bar"";""max"",1;""color1"",""#cae6ed""}))"),"")</f>
        <v/>
      </c>
      <c r="Y12" s="55"/>
      <c r="Z12" s="55"/>
      <c r="AA12" s="61" t="str">
        <f t="shared" si="4"/>
        <v/>
      </c>
      <c r="AB12" s="55"/>
      <c r="AC12" s="62" t="str">
        <f t="shared" si="5"/>
        <v/>
      </c>
      <c r="AD12" s="63"/>
      <c r="AE12" s="23">
        <f t="shared" si="6"/>
        <v>0</v>
      </c>
      <c r="AF12" s="24"/>
      <c r="AG12" s="24"/>
      <c r="AH12" s="24"/>
      <c r="AI12" s="24"/>
      <c r="AJ12" s="22"/>
      <c r="AK12" s="22"/>
    </row>
    <row r="13">
      <c r="A13" s="22"/>
      <c r="B13" s="46"/>
      <c r="C13" s="47"/>
      <c r="D13" s="48" t="str">
        <f>IF(E13="","",SETUP!$B$18)</f>
        <v/>
      </c>
      <c r="E13" s="49"/>
      <c r="F13" s="50">
        <v>5.0</v>
      </c>
      <c r="G13" s="51"/>
      <c r="H13" s="52"/>
      <c r="I13" s="48" t="str">
        <f>IF(J13="","",SETUP!$B$18)</f>
        <v/>
      </c>
      <c r="J13" s="64"/>
      <c r="K13" s="65"/>
      <c r="L13" s="48" t="str">
        <f>IF(M13="","",SETUP!$B$18)</f>
        <v/>
      </c>
      <c r="M13" s="66"/>
      <c r="N13" s="48" t="str">
        <f>IF(O13="","",SETUP!$B$18)</f>
        <v/>
      </c>
      <c r="O13" s="64"/>
      <c r="P13" s="65"/>
      <c r="Q13" s="67" t="str">
        <f>IF(R13="","",SETUP!$B$18)</f>
        <v/>
      </c>
      <c r="R13" s="68" t="str">
        <f t="shared" si="1"/>
        <v/>
      </c>
      <c r="S13" s="67" t="str">
        <f>IF(T13="","",SETUP!$B$18)</f>
        <v/>
      </c>
      <c r="T13" s="58" t="str">
        <f t="shared" si="2"/>
        <v/>
      </c>
      <c r="U13" s="55"/>
      <c r="V13" s="59" t="str">
        <f t="shared" si="3"/>
        <v/>
      </c>
      <c r="W13" s="55"/>
      <c r="X13" s="60" t="str">
        <f>IFERROR(__xludf.DUMMYFUNCTION("if(V13="""","""",SPARKLINE(V13,{""charttype"",""bar"";""max"",1;""color1"",""#cae6ed""}))"),"")</f>
        <v/>
      </c>
      <c r="Y13" s="55"/>
      <c r="Z13" s="55"/>
      <c r="AA13" s="61" t="str">
        <f t="shared" si="4"/>
        <v/>
      </c>
      <c r="AB13" s="55"/>
      <c r="AC13" s="62" t="str">
        <f t="shared" si="5"/>
        <v/>
      </c>
      <c r="AD13" s="63"/>
      <c r="AE13" s="23">
        <f t="shared" si="6"/>
        <v>0</v>
      </c>
      <c r="AF13" s="24"/>
      <c r="AG13" s="24"/>
      <c r="AH13" s="24"/>
      <c r="AI13" s="24"/>
      <c r="AJ13" s="22"/>
      <c r="AK13" s="22"/>
    </row>
    <row r="14">
      <c r="A14" s="22"/>
      <c r="B14" s="46"/>
      <c r="C14" s="47"/>
      <c r="D14" s="48" t="str">
        <f>IF(E14="","",SETUP!$B$18)</f>
        <v/>
      </c>
      <c r="E14" s="49"/>
      <c r="F14" s="50">
        <v>6.0</v>
      </c>
      <c r="G14" s="51"/>
      <c r="H14" s="52"/>
      <c r="I14" s="48" t="str">
        <f>IF(J14="","",SETUP!$B$18)</f>
        <v/>
      </c>
      <c r="J14" s="64"/>
      <c r="K14" s="65"/>
      <c r="L14" s="48" t="str">
        <f>IF(M14="","",SETUP!$B$18)</f>
        <v/>
      </c>
      <c r="M14" s="66"/>
      <c r="N14" s="48" t="str">
        <f>IF(O14="","",SETUP!$B$18)</f>
        <v/>
      </c>
      <c r="O14" s="64"/>
      <c r="P14" s="65"/>
      <c r="Q14" s="67" t="str">
        <f>IF(R14="","",SETUP!$B$18)</f>
        <v/>
      </c>
      <c r="R14" s="68" t="str">
        <f t="shared" si="1"/>
        <v/>
      </c>
      <c r="S14" s="67" t="str">
        <f>IF(T14="","",SETUP!$B$18)</f>
        <v/>
      </c>
      <c r="T14" s="58" t="str">
        <f t="shared" si="2"/>
        <v/>
      </c>
      <c r="U14" s="55"/>
      <c r="V14" s="59" t="str">
        <f t="shared" si="3"/>
        <v/>
      </c>
      <c r="W14" s="55"/>
      <c r="X14" s="60" t="str">
        <f>IFERROR(__xludf.DUMMYFUNCTION("if(V14="""","""",SPARKLINE(V14,{""charttype"",""bar"";""max"",1;""color1"",""#cae6ed""}))"),"")</f>
        <v/>
      </c>
      <c r="Y14" s="55"/>
      <c r="Z14" s="55"/>
      <c r="AA14" s="61" t="str">
        <f t="shared" si="4"/>
        <v/>
      </c>
      <c r="AB14" s="55"/>
      <c r="AC14" s="62" t="str">
        <f t="shared" si="5"/>
        <v/>
      </c>
      <c r="AD14" s="63"/>
      <c r="AE14" s="23">
        <f t="shared" si="6"/>
        <v>0</v>
      </c>
      <c r="AF14" s="24"/>
      <c r="AG14" s="24"/>
      <c r="AH14" s="24"/>
      <c r="AI14" s="24"/>
      <c r="AJ14" s="22"/>
      <c r="AK14" s="22"/>
    </row>
    <row r="15">
      <c r="A15" s="22"/>
      <c r="B15" s="46"/>
      <c r="C15" s="47"/>
      <c r="D15" s="48" t="str">
        <f>IF(E15="","",SETUP!$B$18)</f>
        <v/>
      </c>
      <c r="E15" s="49"/>
      <c r="F15" s="50">
        <v>7.0</v>
      </c>
      <c r="G15" s="69"/>
      <c r="H15" s="52"/>
      <c r="I15" s="48" t="str">
        <f>IF(J15="","",SETUP!$B$18)</f>
        <v/>
      </c>
      <c r="J15" s="70"/>
      <c r="K15" s="65"/>
      <c r="L15" s="48" t="str">
        <f>IF(M15="","",SETUP!$B$18)</f>
        <v/>
      </c>
      <c r="M15" s="71"/>
      <c r="N15" s="48" t="str">
        <f>IF(O15="","",SETUP!$B$18)</f>
        <v/>
      </c>
      <c r="O15" s="70"/>
      <c r="P15" s="65"/>
      <c r="Q15" s="67" t="str">
        <f>IF(R15="","",SETUP!$B$18)</f>
        <v/>
      </c>
      <c r="R15" s="68" t="str">
        <f t="shared" si="1"/>
        <v/>
      </c>
      <c r="S15" s="67" t="str">
        <f>IF(T15="","",SETUP!$B$18)</f>
        <v/>
      </c>
      <c r="T15" s="58" t="str">
        <f t="shared" si="2"/>
        <v/>
      </c>
      <c r="U15" s="55"/>
      <c r="V15" s="59" t="str">
        <f t="shared" si="3"/>
        <v/>
      </c>
      <c r="W15" s="55"/>
      <c r="X15" s="60" t="str">
        <f>IFERROR(__xludf.DUMMYFUNCTION("if(V15="""","""",SPARKLINE(V15,{""charttype"",""bar"";""max"",1;""color1"",""#cae6ed""}))"),"")</f>
        <v/>
      </c>
      <c r="Y15" s="55"/>
      <c r="Z15" s="55"/>
      <c r="AA15" s="61" t="str">
        <f t="shared" si="4"/>
        <v/>
      </c>
      <c r="AB15" s="55"/>
      <c r="AC15" s="62" t="str">
        <f t="shared" si="5"/>
        <v/>
      </c>
      <c r="AD15" s="63"/>
      <c r="AE15" s="23">
        <f t="shared" si="6"/>
        <v>0</v>
      </c>
      <c r="AF15" s="24"/>
      <c r="AG15" s="24"/>
      <c r="AH15" s="24"/>
      <c r="AI15" s="24"/>
      <c r="AJ15" s="22"/>
      <c r="AK15" s="22"/>
    </row>
    <row r="16">
      <c r="A16" s="22"/>
      <c r="B16" s="46"/>
      <c r="C16" s="47"/>
      <c r="D16" s="48" t="str">
        <f>IF(E16="","",SETUP!$B$18)</f>
        <v/>
      </c>
      <c r="E16" s="49"/>
      <c r="F16" s="50">
        <v>8.0</v>
      </c>
      <c r="G16" s="72"/>
      <c r="H16" s="55"/>
      <c r="I16" s="48" t="str">
        <f>IF(J16="","",SETUP!$B$18)</f>
        <v/>
      </c>
      <c r="J16" s="73"/>
      <c r="K16" s="65"/>
      <c r="L16" s="48" t="str">
        <f>IF(M16="","",SETUP!$B$18)</f>
        <v/>
      </c>
      <c r="M16" s="73"/>
      <c r="N16" s="48" t="str">
        <f>IF(O16="","",SETUP!$B$18)</f>
        <v/>
      </c>
      <c r="O16" s="73"/>
      <c r="P16" s="65"/>
      <c r="Q16" s="67" t="str">
        <f>IF(R16="","",SETUP!$B$18)</f>
        <v/>
      </c>
      <c r="R16" s="68" t="str">
        <f t="shared" si="1"/>
        <v/>
      </c>
      <c r="S16" s="67" t="str">
        <f>IF(T16="","",SETUP!$B$18)</f>
        <v/>
      </c>
      <c r="T16" s="58" t="str">
        <f t="shared" si="2"/>
        <v/>
      </c>
      <c r="U16" s="55"/>
      <c r="V16" s="59" t="str">
        <f t="shared" si="3"/>
        <v/>
      </c>
      <c r="W16" s="55"/>
      <c r="X16" s="60" t="str">
        <f>IFERROR(__xludf.DUMMYFUNCTION("if(V16="""","""",SPARKLINE(V16,{""charttype"",""bar"";""max"",1;""color1"",""#cae6ed""}))"),"")</f>
        <v/>
      </c>
      <c r="Y16" s="55"/>
      <c r="Z16" s="55"/>
      <c r="AA16" s="61" t="str">
        <f t="shared" si="4"/>
        <v/>
      </c>
      <c r="AB16" s="55"/>
      <c r="AC16" s="62" t="str">
        <f t="shared" si="5"/>
        <v/>
      </c>
      <c r="AD16" s="63"/>
      <c r="AE16" s="23">
        <f t="shared" si="6"/>
        <v>0</v>
      </c>
      <c r="AF16" s="24"/>
      <c r="AG16" s="24"/>
      <c r="AH16" s="24"/>
      <c r="AI16" s="24"/>
      <c r="AJ16" s="22"/>
      <c r="AK16" s="22"/>
    </row>
    <row r="17">
      <c r="A17" s="22"/>
      <c r="B17" s="46"/>
      <c r="C17" s="47"/>
      <c r="D17" s="48" t="str">
        <f>IF(E17="","",SETUP!$B$18)</f>
        <v/>
      </c>
      <c r="E17" s="49"/>
      <c r="F17" s="50">
        <v>9.0</v>
      </c>
      <c r="G17" s="72"/>
      <c r="H17" s="55"/>
      <c r="I17" s="48" t="str">
        <f>IF(J17="","",SETUP!$B$18)</f>
        <v/>
      </c>
      <c r="J17" s="73"/>
      <c r="K17" s="65"/>
      <c r="L17" s="48" t="str">
        <f>IF(M17="","",SETUP!$B$18)</f>
        <v/>
      </c>
      <c r="M17" s="73"/>
      <c r="N17" s="48" t="str">
        <f>IF(O17="","",SETUP!$B$18)</f>
        <v/>
      </c>
      <c r="O17" s="73"/>
      <c r="P17" s="65"/>
      <c r="Q17" s="67" t="str">
        <f>IF(R17="","",SETUP!$B$18)</f>
        <v/>
      </c>
      <c r="R17" s="68" t="str">
        <f t="shared" si="1"/>
        <v/>
      </c>
      <c r="S17" s="67" t="str">
        <f>IF(T17="","",SETUP!$B$18)</f>
        <v/>
      </c>
      <c r="T17" s="58" t="str">
        <f t="shared" si="2"/>
        <v/>
      </c>
      <c r="U17" s="55"/>
      <c r="V17" s="59" t="str">
        <f t="shared" si="3"/>
        <v/>
      </c>
      <c r="W17" s="55"/>
      <c r="X17" s="60" t="str">
        <f>IFERROR(__xludf.DUMMYFUNCTION("if(V17="""","""",SPARKLINE(V17,{""charttype"",""bar"";""max"",1;""color1"",""#cae6ed""}))"),"")</f>
        <v/>
      </c>
      <c r="Y17" s="55"/>
      <c r="Z17" s="55"/>
      <c r="AA17" s="61" t="str">
        <f t="shared" si="4"/>
        <v/>
      </c>
      <c r="AB17" s="55"/>
      <c r="AC17" s="62" t="str">
        <f t="shared" si="5"/>
        <v/>
      </c>
      <c r="AD17" s="63"/>
      <c r="AE17" s="23">
        <f t="shared" si="6"/>
        <v>0</v>
      </c>
      <c r="AF17" s="24"/>
      <c r="AG17" s="24"/>
      <c r="AH17" s="24"/>
      <c r="AI17" s="24"/>
      <c r="AJ17" s="22"/>
      <c r="AK17" s="22"/>
    </row>
    <row r="18">
      <c r="A18" s="22"/>
      <c r="B18" s="46"/>
      <c r="C18" s="47"/>
      <c r="D18" s="48" t="str">
        <f>IF(E18="","",SETUP!$B$18)</f>
        <v/>
      </c>
      <c r="E18" s="49"/>
      <c r="F18" s="50">
        <v>10.0</v>
      </c>
      <c r="G18" s="72"/>
      <c r="H18" s="55"/>
      <c r="I18" s="48" t="str">
        <f>IF(J18="","",SETUP!$B$18)</f>
        <v/>
      </c>
      <c r="J18" s="73"/>
      <c r="K18" s="65"/>
      <c r="L18" s="48" t="str">
        <f>IF(M18="","",SETUP!$B$18)</f>
        <v/>
      </c>
      <c r="M18" s="73"/>
      <c r="N18" s="48" t="str">
        <f>IF(O18="","",SETUP!$B$18)</f>
        <v/>
      </c>
      <c r="O18" s="73"/>
      <c r="P18" s="65"/>
      <c r="Q18" s="67" t="str">
        <f>IF(R18="","",SETUP!$B$18)</f>
        <v/>
      </c>
      <c r="R18" s="68" t="str">
        <f t="shared" si="1"/>
        <v/>
      </c>
      <c r="S18" s="67" t="str">
        <f>IF(T18="","",SETUP!$B$18)</f>
        <v/>
      </c>
      <c r="T18" s="58" t="str">
        <f t="shared" si="2"/>
        <v/>
      </c>
      <c r="U18" s="55"/>
      <c r="V18" s="59" t="str">
        <f t="shared" si="3"/>
        <v/>
      </c>
      <c r="W18" s="55"/>
      <c r="X18" s="60" t="str">
        <f>IFERROR(__xludf.DUMMYFUNCTION("if(V18="""","""",SPARKLINE(V18,{""charttype"",""bar"";""max"",1;""color1"",""#cae6ed""}))"),"")</f>
        <v/>
      </c>
      <c r="Y18" s="55"/>
      <c r="Z18" s="55"/>
      <c r="AA18" s="61" t="str">
        <f t="shared" si="4"/>
        <v/>
      </c>
      <c r="AB18" s="55"/>
      <c r="AC18" s="62" t="str">
        <f t="shared" si="5"/>
        <v/>
      </c>
      <c r="AD18" s="63"/>
      <c r="AE18" s="23">
        <f t="shared" si="6"/>
        <v>0</v>
      </c>
      <c r="AF18" s="24"/>
      <c r="AG18" s="24"/>
      <c r="AH18" s="24"/>
      <c r="AI18" s="24"/>
      <c r="AJ18" s="22"/>
      <c r="AK18" s="22"/>
    </row>
    <row r="19">
      <c r="A19" s="22"/>
      <c r="B19" s="46"/>
      <c r="C19" s="47"/>
      <c r="D19" s="48" t="str">
        <f>IF(E19="","",SETUP!$B$18)</f>
        <v/>
      </c>
      <c r="E19" s="49"/>
      <c r="F19" s="50">
        <v>11.0</v>
      </c>
      <c r="G19" s="72"/>
      <c r="H19" s="55"/>
      <c r="I19" s="48" t="str">
        <f>IF(J19="","",SETUP!$B$18)</f>
        <v/>
      </c>
      <c r="J19" s="73"/>
      <c r="K19" s="65"/>
      <c r="L19" s="48" t="str">
        <f>IF(M19="","",SETUP!$B$18)</f>
        <v/>
      </c>
      <c r="M19" s="73"/>
      <c r="N19" s="48" t="str">
        <f>IF(O19="","",SETUP!$B$18)</f>
        <v/>
      </c>
      <c r="O19" s="73"/>
      <c r="P19" s="65"/>
      <c r="Q19" s="67" t="str">
        <f>IF(R19="","",SETUP!$B$18)</f>
        <v/>
      </c>
      <c r="R19" s="68" t="str">
        <f t="shared" si="1"/>
        <v/>
      </c>
      <c r="S19" s="67" t="str">
        <f>IF(T19="","",SETUP!$B$18)</f>
        <v/>
      </c>
      <c r="T19" s="58" t="str">
        <f t="shared" si="2"/>
        <v/>
      </c>
      <c r="U19" s="55"/>
      <c r="V19" s="59" t="str">
        <f t="shared" si="3"/>
        <v/>
      </c>
      <c r="W19" s="55"/>
      <c r="X19" s="60" t="str">
        <f>IFERROR(__xludf.DUMMYFUNCTION("if(V19="""","""",SPARKLINE(V19,{""charttype"",""bar"";""max"",1;""color1"",""#cae6ed""}))"),"")</f>
        <v/>
      </c>
      <c r="Y19" s="55"/>
      <c r="Z19" s="55"/>
      <c r="AA19" s="61" t="str">
        <f t="shared" si="4"/>
        <v/>
      </c>
      <c r="AB19" s="55"/>
      <c r="AC19" s="62" t="str">
        <f t="shared" si="5"/>
        <v/>
      </c>
      <c r="AD19" s="63"/>
      <c r="AE19" s="23">
        <f t="shared" si="6"/>
        <v>0</v>
      </c>
      <c r="AF19" s="24"/>
      <c r="AG19" s="24"/>
      <c r="AH19" s="24"/>
      <c r="AI19" s="24"/>
      <c r="AJ19" s="22"/>
      <c r="AK19" s="22"/>
    </row>
    <row r="20">
      <c r="A20" s="22"/>
      <c r="B20" s="46"/>
      <c r="C20" s="47"/>
      <c r="D20" s="48" t="str">
        <f>IF(E20="","",SETUP!$B$18)</f>
        <v/>
      </c>
      <c r="E20" s="49"/>
      <c r="F20" s="50">
        <v>12.0</v>
      </c>
      <c r="G20" s="72"/>
      <c r="H20" s="55"/>
      <c r="I20" s="48" t="str">
        <f>IF(J20="","",SETUP!$B$18)</f>
        <v/>
      </c>
      <c r="J20" s="73"/>
      <c r="K20" s="65"/>
      <c r="L20" s="48" t="str">
        <f>IF(M20="","",SETUP!$B$18)</f>
        <v/>
      </c>
      <c r="M20" s="73"/>
      <c r="N20" s="48" t="str">
        <f>IF(O20="","",SETUP!$B$18)</f>
        <v/>
      </c>
      <c r="O20" s="73"/>
      <c r="P20" s="65"/>
      <c r="Q20" s="67" t="str">
        <f>IF(R20="","",SETUP!$B$18)</f>
        <v/>
      </c>
      <c r="R20" s="68" t="str">
        <f t="shared" si="1"/>
        <v/>
      </c>
      <c r="S20" s="67" t="str">
        <f>IF(T20="","",SETUP!$B$18)</f>
        <v/>
      </c>
      <c r="T20" s="58" t="str">
        <f t="shared" si="2"/>
        <v/>
      </c>
      <c r="U20" s="55"/>
      <c r="V20" s="59" t="str">
        <f t="shared" si="3"/>
        <v/>
      </c>
      <c r="W20" s="55"/>
      <c r="X20" s="60" t="str">
        <f>IFERROR(__xludf.DUMMYFUNCTION("if(V20="""","""",SPARKLINE(V20,{""charttype"",""bar"";""max"",1;""color1"",""#cae6ed""}))"),"")</f>
        <v/>
      </c>
      <c r="Y20" s="55"/>
      <c r="Z20" s="55"/>
      <c r="AA20" s="61" t="str">
        <f t="shared" si="4"/>
        <v/>
      </c>
      <c r="AB20" s="55"/>
      <c r="AC20" s="62" t="str">
        <f t="shared" si="5"/>
        <v/>
      </c>
      <c r="AD20" s="63"/>
      <c r="AE20" s="23">
        <f t="shared" si="6"/>
        <v>0</v>
      </c>
      <c r="AF20" s="24"/>
      <c r="AG20" s="24"/>
      <c r="AH20" s="24"/>
      <c r="AI20" s="24"/>
      <c r="AJ20" s="22"/>
      <c r="AK20" s="22"/>
    </row>
    <row r="21">
      <c r="A21" s="22"/>
      <c r="B21" s="46"/>
      <c r="C21" s="47"/>
      <c r="D21" s="48" t="str">
        <f>IF(E21="","",SETUP!$B$18)</f>
        <v/>
      </c>
      <c r="E21" s="49"/>
      <c r="F21" s="50">
        <v>13.0</v>
      </c>
      <c r="G21" s="72"/>
      <c r="H21" s="55"/>
      <c r="I21" s="48" t="str">
        <f>IF(J21="","",SETUP!$B$18)</f>
        <v/>
      </c>
      <c r="J21" s="73"/>
      <c r="K21" s="65"/>
      <c r="L21" s="48" t="str">
        <f>IF(M21="","",SETUP!$B$18)</f>
        <v/>
      </c>
      <c r="M21" s="73"/>
      <c r="N21" s="48" t="str">
        <f>IF(O21="","",SETUP!$B$18)</f>
        <v/>
      </c>
      <c r="O21" s="73"/>
      <c r="P21" s="65"/>
      <c r="Q21" s="67" t="str">
        <f>IF(R21="","",SETUP!$B$18)</f>
        <v/>
      </c>
      <c r="R21" s="68" t="str">
        <f t="shared" si="1"/>
        <v/>
      </c>
      <c r="S21" s="67" t="str">
        <f>IF(T21="","",SETUP!$B$18)</f>
        <v/>
      </c>
      <c r="T21" s="58" t="str">
        <f t="shared" si="2"/>
        <v/>
      </c>
      <c r="U21" s="55"/>
      <c r="V21" s="59" t="str">
        <f t="shared" si="3"/>
        <v/>
      </c>
      <c r="W21" s="55"/>
      <c r="X21" s="60" t="str">
        <f>IFERROR(__xludf.DUMMYFUNCTION("if(V21="""","""",SPARKLINE(V21,{""charttype"",""bar"";""max"",1;""color1"",""#cae6ed""}))"),"")</f>
        <v/>
      </c>
      <c r="Y21" s="55"/>
      <c r="Z21" s="55"/>
      <c r="AA21" s="61" t="str">
        <f t="shared" si="4"/>
        <v/>
      </c>
      <c r="AB21" s="55"/>
      <c r="AC21" s="62" t="str">
        <f t="shared" si="5"/>
        <v/>
      </c>
      <c r="AD21" s="63"/>
      <c r="AE21" s="23">
        <f t="shared" si="6"/>
        <v>0</v>
      </c>
      <c r="AF21" s="24"/>
      <c r="AG21" s="24"/>
      <c r="AH21" s="24"/>
      <c r="AI21" s="24"/>
      <c r="AJ21" s="22"/>
      <c r="AK21" s="22"/>
    </row>
    <row r="22">
      <c r="A22" s="22"/>
      <c r="B22" s="46"/>
      <c r="C22" s="47"/>
      <c r="D22" s="48" t="str">
        <f>IF(E22="","",SETUP!$B$18)</f>
        <v/>
      </c>
      <c r="E22" s="49"/>
      <c r="F22" s="50">
        <v>14.0</v>
      </c>
      <c r="G22" s="72"/>
      <c r="H22" s="55"/>
      <c r="I22" s="48" t="str">
        <f>IF(J22="","",SETUP!$B$18)</f>
        <v/>
      </c>
      <c r="J22" s="73"/>
      <c r="K22" s="65"/>
      <c r="L22" s="48" t="str">
        <f>IF(M22="","",SETUP!$B$18)</f>
        <v/>
      </c>
      <c r="M22" s="73"/>
      <c r="N22" s="48" t="str">
        <f>IF(O22="","",SETUP!$B$18)</f>
        <v/>
      </c>
      <c r="O22" s="73"/>
      <c r="P22" s="65"/>
      <c r="Q22" s="67" t="str">
        <f>IF(R22="","",SETUP!$B$18)</f>
        <v/>
      </c>
      <c r="R22" s="68" t="str">
        <f t="shared" si="1"/>
        <v/>
      </c>
      <c r="S22" s="67" t="str">
        <f>IF(T22="","",SETUP!$B$18)</f>
        <v/>
      </c>
      <c r="T22" s="58" t="str">
        <f t="shared" si="2"/>
        <v/>
      </c>
      <c r="U22" s="55"/>
      <c r="V22" s="59" t="str">
        <f t="shared" si="3"/>
        <v/>
      </c>
      <c r="W22" s="55"/>
      <c r="X22" s="60" t="str">
        <f>IFERROR(__xludf.DUMMYFUNCTION("if(V22="""","""",SPARKLINE(V22,{""charttype"",""bar"";""max"",1;""color1"",""#cae6ed""}))"),"")</f>
        <v/>
      </c>
      <c r="Y22" s="55"/>
      <c r="Z22" s="55"/>
      <c r="AA22" s="61" t="str">
        <f t="shared" si="4"/>
        <v/>
      </c>
      <c r="AB22" s="55"/>
      <c r="AC22" s="62" t="str">
        <f t="shared" si="5"/>
        <v/>
      </c>
      <c r="AD22" s="63"/>
      <c r="AE22" s="23">
        <f t="shared" si="6"/>
        <v>0</v>
      </c>
      <c r="AF22" s="24"/>
      <c r="AG22" s="24"/>
      <c r="AH22" s="24"/>
      <c r="AI22" s="24"/>
      <c r="AJ22" s="22"/>
      <c r="AK22" s="22"/>
    </row>
    <row r="23">
      <c r="A23" s="22"/>
      <c r="B23" s="46"/>
      <c r="C23" s="47"/>
      <c r="D23" s="48" t="str">
        <f>IF(E23="","",SETUP!$B$18)</f>
        <v/>
      </c>
      <c r="E23" s="49"/>
      <c r="F23" s="50">
        <v>15.0</v>
      </c>
      <c r="G23" s="74"/>
      <c r="H23" s="75"/>
      <c r="I23" s="48" t="str">
        <f>IF(J23="","",SETUP!$B$18)</f>
        <v/>
      </c>
      <c r="J23" s="73"/>
      <c r="K23" s="65"/>
      <c r="L23" s="48" t="str">
        <f>IF(M23="","",SETUP!$B$18)</f>
        <v/>
      </c>
      <c r="M23" s="73"/>
      <c r="N23" s="48" t="str">
        <f>IF(O23="","",SETUP!$B$18)</f>
        <v/>
      </c>
      <c r="O23" s="73"/>
      <c r="P23" s="65"/>
      <c r="Q23" s="67" t="str">
        <f>IF(R23="","",SETUP!$B$18)</f>
        <v/>
      </c>
      <c r="R23" s="68" t="str">
        <f t="shared" si="1"/>
        <v/>
      </c>
      <c r="S23" s="67" t="str">
        <f>IF(T23="","",SETUP!$B$18)</f>
        <v/>
      </c>
      <c r="T23" s="76" t="str">
        <f t="shared" si="2"/>
        <v/>
      </c>
      <c r="U23" s="75"/>
      <c r="V23" s="77" t="str">
        <f t="shared" si="3"/>
        <v/>
      </c>
      <c r="W23" s="75"/>
      <c r="X23" s="78" t="str">
        <f>IFERROR(__xludf.DUMMYFUNCTION("if(V23="""","""",SPARKLINE(V23,{""charttype"",""bar"";""max"",1;""color1"",""#cae6ed""}))"),"")</f>
        <v/>
      </c>
      <c r="Y23" s="75"/>
      <c r="Z23" s="75"/>
      <c r="AA23" s="79" t="str">
        <f t="shared" si="4"/>
        <v/>
      </c>
      <c r="AB23" s="75"/>
      <c r="AC23" s="80" t="str">
        <f t="shared" si="5"/>
        <v/>
      </c>
      <c r="AD23" s="81"/>
      <c r="AE23" s="23">
        <f t="shared" si="6"/>
        <v>0</v>
      </c>
      <c r="AF23" s="24"/>
      <c r="AG23" s="24"/>
      <c r="AH23" s="24"/>
      <c r="AI23" s="24"/>
      <c r="AJ23" s="22"/>
      <c r="AK23" s="22"/>
    </row>
    <row r="24">
      <c r="A24" s="22"/>
      <c r="B24" s="46"/>
      <c r="C24" s="47"/>
      <c r="D24" s="48" t="str">
        <f>IF(E24="","",SETUP!$B$18)</f>
        <v/>
      </c>
      <c r="E24" s="49"/>
      <c r="F24" s="23"/>
      <c r="G24" s="82" t="s">
        <v>25</v>
      </c>
      <c r="H24" s="6"/>
      <c r="I24" s="83" t="str">
        <f>SETUP!$B$18</f>
        <v>$</v>
      </c>
      <c r="J24" s="84">
        <f>SUM(J9:K23)</f>
        <v>0</v>
      </c>
      <c r="K24" s="6"/>
      <c r="L24" s="83" t="str">
        <f>SETUP!$B$18</f>
        <v>$</v>
      </c>
      <c r="M24" s="84">
        <f>SUM(M9:M23)</f>
        <v>0</v>
      </c>
      <c r="N24" s="83" t="str">
        <f>SETUP!$B$18</f>
        <v>$</v>
      </c>
      <c r="O24" s="84">
        <f>SUM(O9:O23)</f>
        <v>0</v>
      </c>
      <c r="P24" s="6"/>
      <c r="Q24" s="83" t="str">
        <f>SETUP!$B$18</f>
        <v>$</v>
      </c>
      <c r="R24" s="84">
        <f>SUM(R9:R23)</f>
        <v>0</v>
      </c>
      <c r="S24" s="83" t="str">
        <f>SETUP!$B$18</f>
        <v>$</v>
      </c>
      <c r="T24" s="84">
        <f>SUM(T9:T23)</f>
        <v>0</v>
      </c>
      <c r="U24" s="6"/>
      <c r="V24" s="85" t="str">
        <f>V4</f>
        <v/>
      </c>
      <c r="W24" s="6"/>
      <c r="X24" s="86"/>
      <c r="Y24" s="6"/>
      <c r="Z24" s="6"/>
      <c r="AA24" s="86"/>
      <c r="AB24" s="6"/>
      <c r="AC24" s="86"/>
      <c r="AD24" s="7"/>
      <c r="AE24" s="23"/>
      <c r="AF24" s="24"/>
      <c r="AG24" s="24"/>
      <c r="AH24" s="24"/>
      <c r="AI24" s="24"/>
      <c r="AJ24" s="22"/>
      <c r="AK24" s="22"/>
    </row>
    <row r="25">
      <c r="A25" s="22"/>
      <c r="B25" s="46"/>
      <c r="C25" s="47"/>
      <c r="D25" s="48" t="str">
        <f>IF(E25="","",SETUP!$B$18)</f>
        <v/>
      </c>
      <c r="E25" s="49"/>
      <c r="F25" s="23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/>
      <c r="AF25" s="24"/>
      <c r="AG25" s="24"/>
      <c r="AH25" s="24"/>
      <c r="AI25" s="24"/>
      <c r="AJ25" s="22"/>
      <c r="AK25" s="22"/>
    </row>
    <row r="26">
      <c r="A26" s="22"/>
      <c r="B26" s="46"/>
      <c r="C26" s="47"/>
      <c r="D26" s="48" t="str">
        <f>IF(E26="","",SETUP!$B$18)</f>
        <v/>
      </c>
      <c r="E26" s="49"/>
      <c r="F26" s="23"/>
      <c r="G26" s="26" t="str">
        <f>UPPER(G9)</f>
        <v/>
      </c>
      <c r="H26" s="3"/>
      <c r="I26" s="3"/>
      <c r="J26" s="4"/>
      <c r="K26" s="22"/>
      <c r="L26" s="27" t="str">
        <f>UPPER(G10)</f>
        <v/>
      </c>
      <c r="M26" s="3"/>
      <c r="N26" s="3"/>
      <c r="O26" s="4"/>
      <c r="P26" s="22"/>
      <c r="Q26" s="28" t="str">
        <f>UPPER(G11)</f>
        <v/>
      </c>
      <c r="R26" s="3"/>
      <c r="S26" s="3"/>
      <c r="T26" s="4"/>
      <c r="U26" s="22"/>
      <c r="V26" s="29" t="str">
        <f>UPPER(G12)</f>
        <v/>
      </c>
      <c r="W26" s="3"/>
      <c r="X26" s="3"/>
      <c r="Y26" s="4"/>
      <c r="Z26" s="22"/>
      <c r="AA26" s="30" t="str">
        <f>UPPER(G13)</f>
        <v/>
      </c>
      <c r="AB26" s="3"/>
      <c r="AC26" s="3"/>
      <c r="AD26" s="4"/>
      <c r="AE26" s="23"/>
      <c r="AF26" s="24"/>
      <c r="AG26" s="24"/>
      <c r="AH26" s="24"/>
      <c r="AI26" s="24"/>
      <c r="AJ26" s="22"/>
      <c r="AK26" s="22"/>
    </row>
    <row r="27">
      <c r="A27" s="22"/>
      <c r="B27" s="46"/>
      <c r="C27" s="47"/>
      <c r="D27" s="48" t="str">
        <f>IF(E27="","",SETUP!$B$18)</f>
        <v/>
      </c>
      <c r="E27" s="87"/>
      <c r="F27" s="23"/>
      <c r="G27" s="31"/>
      <c r="J27" s="10"/>
      <c r="K27" s="22"/>
      <c r="L27" s="31"/>
      <c r="O27" s="10"/>
      <c r="P27" s="22"/>
      <c r="Q27" s="31"/>
      <c r="T27" s="10"/>
      <c r="U27" s="22"/>
      <c r="V27" s="31"/>
      <c r="Y27" s="10"/>
      <c r="Z27" s="22"/>
      <c r="AA27" s="31"/>
      <c r="AD27" s="10"/>
      <c r="AE27" s="23"/>
      <c r="AF27" s="24"/>
      <c r="AG27" s="24"/>
      <c r="AH27" s="24"/>
      <c r="AI27" s="24"/>
      <c r="AJ27" s="22"/>
      <c r="AK27" s="22"/>
    </row>
    <row r="28">
      <c r="A28" s="22"/>
      <c r="B28" s="46"/>
      <c r="C28" s="47"/>
      <c r="D28" s="48" t="str">
        <f>IF(E28="","",SETUP!$B$18)</f>
        <v/>
      </c>
      <c r="E28" s="88"/>
      <c r="F28" s="23"/>
      <c r="G28" s="89" t="str">
        <f>IF(J39=0,"",J40/J39)</f>
        <v/>
      </c>
      <c r="J28" s="10"/>
      <c r="K28" s="22"/>
      <c r="L28" s="89" t="str">
        <f>IF(O39=0,"",O40/O39)</f>
        <v/>
      </c>
      <c r="O28" s="10"/>
      <c r="P28" s="22"/>
      <c r="Q28" s="89" t="str">
        <f>IF(T39=0,"",T40/T39)</f>
        <v/>
      </c>
      <c r="T28" s="10"/>
      <c r="U28" s="22"/>
      <c r="V28" s="89" t="str">
        <f>IF(Y39=0,"",Y40/Y39)</f>
        <v/>
      </c>
      <c r="Y28" s="10"/>
      <c r="Z28" s="22"/>
      <c r="AA28" s="89" t="str">
        <f>IF(AD39=0,"",AD40/AD39)</f>
        <v/>
      </c>
      <c r="AD28" s="10"/>
      <c r="AE28" s="23"/>
      <c r="AF28" s="24"/>
      <c r="AG28" s="24"/>
      <c r="AH28" s="24"/>
      <c r="AI28" s="24"/>
      <c r="AJ28" s="22"/>
      <c r="AK28" s="22"/>
    </row>
    <row r="29">
      <c r="A29" s="22"/>
      <c r="B29" s="46"/>
      <c r="C29" s="47"/>
      <c r="D29" s="48" t="str">
        <f>IF(E29="","",SETUP!$B$18)</f>
        <v/>
      </c>
      <c r="E29" s="88"/>
      <c r="F29" s="23"/>
      <c r="G29" s="31"/>
      <c r="J29" s="10"/>
      <c r="K29" s="22"/>
      <c r="L29" s="31"/>
      <c r="O29" s="10"/>
      <c r="P29" s="22"/>
      <c r="Q29" s="31"/>
      <c r="T29" s="10"/>
      <c r="U29" s="22"/>
      <c r="V29" s="31"/>
      <c r="Y29" s="10"/>
      <c r="Z29" s="22"/>
      <c r="AA29" s="31"/>
      <c r="AD29" s="10"/>
      <c r="AE29" s="23"/>
      <c r="AF29" s="24"/>
      <c r="AG29" s="24"/>
      <c r="AH29" s="24"/>
      <c r="AI29" s="24"/>
      <c r="AJ29" s="22"/>
      <c r="AK29" s="22"/>
    </row>
    <row r="30">
      <c r="A30" s="22"/>
      <c r="B30" s="46"/>
      <c r="C30" s="90"/>
      <c r="D30" s="48" t="str">
        <f>IF(E30="","",SETUP!$B$18)</f>
        <v/>
      </c>
      <c r="E30" s="87"/>
      <c r="F30" s="23"/>
      <c r="G30" s="31"/>
      <c r="J30" s="10"/>
      <c r="K30" s="22"/>
      <c r="L30" s="31"/>
      <c r="O30" s="10"/>
      <c r="P30" s="22"/>
      <c r="Q30" s="31"/>
      <c r="T30" s="10"/>
      <c r="U30" s="22"/>
      <c r="V30" s="31"/>
      <c r="Y30" s="10"/>
      <c r="Z30" s="22"/>
      <c r="AA30" s="31"/>
      <c r="AD30" s="10"/>
      <c r="AE30" s="23"/>
      <c r="AF30" s="24"/>
      <c r="AG30" s="24"/>
      <c r="AH30" s="24"/>
      <c r="AI30" s="24"/>
      <c r="AJ30" s="22"/>
      <c r="AK30" s="22"/>
    </row>
    <row r="31">
      <c r="A31" s="22"/>
      <c r="B31" s="46"/>
      <c r="C31" s="47"/>
      <c r="D31" s="48" t="str">
        <f>IF(E31="","",SETUP!$B$18)</f>
        <v/>
      </c>
      <c r="E31" s="87"/>
      <c r="F31" s="23"/>
      <c r="G31" s="31"/>
      <c r="J31" s="10"/>
      <c r="K31" s="22"/>
      <c r="L31" s="31"/>
      <c r="O31" s="10"/>
      <c r="P31" s="22"/>
      <c r="Q31" s="31"/>
      <c r="T31" s="10"/>
      <c r="U31" s="22"/>
      <c r="V31" s="31"/>
      <c r="Y31" s="10"/>
      <c r="Z31" s="22"/>
      <c r="AA31" s="31"/>
      <c r="AD31" s="10"/>
      <c r="AE31" s="23"/>
      <c r="AF31" s="24"/>
      <c r="AG31" s="24"/>
      <c r="AH31" s="24"/>
      <c r="AI31" s="24"/>
      <c r="AJ31" s="22"/>
      <c r="AK31" s="22"/>
    </row>
    <row r="32">
      <c r="A32" s="22"/>
      <c r="B32" s="46"/>
      <c r="C32" s="47"/>
      <c r="D32" s="48" t="str">
        <f>IF(E32="","",SETUP!$B$18)</f>
        <v/>
      </c>
      <c r="E32" s="87"/>
      <c r="F32" s="23"/>
      <c r="G32" s="31"/>
      <c r="J32" s="10"/>
      <c r="K32" s="22"/>
      <c r="L32" s="31"/>
      <c r="O32" s="10"/>
      <c r="P32" s="22"/>
      <c r="Q32" s="31"/>
      <c r="T32" s="10"/>
      <c r="U32" s="22"/>
      <c r="V32" s="31"/>
      <c r="Y32" s="10"/>
      <c r="Z32" s="22"/>
      <c r="AA32" s="31"/>
      <c r="AD32" s="10"/>
      <c r="AE32" s="23"/>
      <c r="AF32" s="24"/>
      <c r="AG32" s="24"/>
      <c r="AH32" s="24"/>
      <c r="AI32" s="24"/>
      <c r="AJ32" s="22"/>
      <c r="AK32" s="22"/>
    </row>
    <row r="33">
      <c r="A33" s="22"/>
      <c r="B33" s="46"/>
      <c r="C33" s="47"/>
      <c r="D33" s="48" t="str">
        <f>IF(E33="","",SETUP!$B$18)</f>
        <v/>
      </c>
      <c r="E33" s="87"/>
      <c r="F33" s="23"/>
      <c r="G33" s="31"/>
      <c r="J33" s="10"/>
      <c r="K33" s="22"/>
      <c r="L33" s="31"/>
      <c r="O33" s="10"/>
      <c r="P33" s="22"/>
      <c r="Q33" s="31"/>
      <c r="T33" s="10"/>
      <c r="U33" s="22"/>
      <c r="V33" s="31"/>
      <c r="Y33" s="10"/>
      <c r="Z33" s="22"/>
      <c r="AA33" s="31"/>
      <c r="AD33" s="10"/>
      <c r="AE33" s="23"/>
      <c r="AF33" s="24"/>
      <c r="AG33" s="24"/>
      <c r="AH33" s="24"/>
      <c r="AI33" s="24"/>
      <c r="AJ33" s="22"/>
      <c r="AK33" s="22"/>
    </row>
    <row r="34">
      <c r="A34" s="22"/>
      <c r="B34" s="46"/>
      <c r="C34" s="47"/>
      <c r="D34" s="48" t="str">
        <f>IF(E34="","",SETUP!$B$18)</f>
        <v/>
      </c>
      <c r="E34" s="87"/>
      <c r="F34" s="23"/>
      <c r="G34" s="31"/>
      <c r="J34" s="10"/>
      <c r="K34" s="22"/>
      <c r="L34" s="31"/>
      <c r="O34" s="10"/>
      <c r="P34" s="22"/>
      <c r="Q34" s="31"/>
      <c r="T34" s="10"/>
      <c r="U34" s="22"/>
      <c r="V34" s="31"/>
      <c r="Y34" s="10"/>
      <c r="Z34" s="22"/>
      <c r="AA34" s="31"/>
      <c r="AD34" s="10"/>
      <c r="AE34" s="23"/>
      <c r="AF34" s="24"/>
      <c r="AG34" s="24"/>
      <c r="AH34" s="24"/>
      <c r="AI34" s="24"/>
      <c r="AJ34" s="22"/>
      <c r="AK34" s="22"/>
    </row>
    <row r="35">
      <c r="A35" s="22"/>
      <c r="B35" s="46"/>
      <c r="C35" s="47"/>
      <c r="D35" s="48" t="str">
        <f>IF(E35="","",SETUP!$B$18)</f>
        <v/>
      </c>
      <c r="E35" s="87"/>
      <c r="F35" s="23"/>
      <c r="G35" s="31"/>
      <c r="J35" s="10"/>
      <c r="K35" s="22"/>
      <c r="L35" s="31"/>
      <c r="O35" s="10"/>
      <c r="P35" s="22"/>
      <c r="Q35" s="31"/>
      <c r="T35" s="10"/>
      <c r="U35" s="22"/>
      <c r="V35" s="31"/>
      <c r="Y35" s="10"/>
      <c r="Z35" s="22"/>
      <c r="AA35" s="31"/>
      <c r="AD35" s="10"/>
      <c r="AE35" s="23"/>
      <c r="AF35" s="24"/>
      <c r="AG35" s="24"/>
      <c r="AH35" s="24"/>
      <c r="AI35" s="24"/>
      <c r="AJ35" s="22"/>
      <c r="AK35" s="22"/>
    </row>
    <row r="36">
      <c r="A36" s="22"/>
      <c r="B36" s="91"/>
      <c r="C36" s="92"/>
      <c r="D36" s="48" t="str">
        <f>IF(E36="","",SETUP!$B$18)</f>
        <v/>
      </c>
      <c r="E36" s="93"/>
      <c r="F36" s="23"/>
      <c r="G36" s="31"/>
      <c r="J36" s="10"/>
      <c r="K36" s="22"/>
      <c r="L36" s="31"/>
      <c r="O36" s="10"/>
      <c r="P36" s="22"/>
      <c r="Q36" s="31"/>
      <c r="T36" s="10"/>
      <c r="U36" s="22"/>
      <c r="V36" s="31"/>
      <c r="Y36" s="10"/>
      <c r="Z36" s="22"/>
      <c r="AA36" s="31"/>
      <c r="AD36" s="10"/>
      <c r="AE36" s="23"/>
      <c r="AF36" s="24"/>
      <c r="AG36" s="24"/>
      <c r="AH36" s="24"/>
      <c r="AI36" s="24"/>
      <c r="AJ36" s="22"/>
      <c r="AK36" s="22"/>
    </row>
    <row r="37">
      <c r="A37" s="22"/>
      <c r="B37" s="91"/>
      <c r="C37" s="92"/>
      <c r="D37" s="48" t="str">
        <f>IF(E37="","",SETUP!$B$18)</f>
        <v/>
      </c>
      <c r="E37" s="93"/>
      <c r="F37" s="23"/>
      <c r="G37" s="31"/>
      <c r="J37" s="10"/>
      <c r="L37" s="31"/>
      <c r="O37" s="10"/>
      <c r="Q37" s="31"/>
      <c r="T37" s="10"/>
      <c r="V37" s="31"/>
      <c r="Y37" s="10"/>
      <c r="AA37" s="31"/>
      <c r="AD37" s="10"/>
      <c r="AE37" s="23"/>
      <c r="AF37" s="24"/>
      <c r="AG37" s="24"/>
      <c r="AH37" s="24"/>
      <c r="AI37" s="24"/>
      <c r="AJ37" s="22"/>
      <c r="AK37" s="22"/>
    </row>
    <row r="38">
      <c r="A38" s="22"/>
      <c r="B38" s="91"/>
      <c r="C38" s="92"/>
      <c r="D38" s="48" t="str">
        <f>IF(E38="","",SETUP!$B$18)</f>
        <v/>
      </c>
      <c r="E38" s="93"/>
      <c r="F38" s="23"/>
      <c r="G38" s="31"/>
      <c r="J38" s="10"/>
      <c r="L38" s="31"/>
      <c r="O38" s="10"/>
      <c r="Q38" s="31"/>
      <c r="T38" s="10"/>
      <c r="V38" s="31"/>
      <c r="Y38" s="10"/>
      <c r="AA38" s="31"/>
      <c r="AD38" s="10"/>
      <c r="AE38" s="23"/>
      <c r="AF38" s="24"/>
      <c r="AG38" s="24"/>
      <c r="AH38" s="24"/>
      <c r="AI38" s="24"/>
      <c r="AJ38" s="22"/>
      <c r="AK38" s="22"/>
    </row>
    <row r="39">
      <c r="A39" s="22"/>
      <c r="B39" s="91"/>
      <c r="C39" s="92"/>
      <c r="D39" s="48" t="str">
        <f>IF(E39="","",SETUP!$B$18)</f>
        <v/>
      </c>
      <c r="E39" s="93"/>
      <c r="F39" s="23"/>
      <c r="G39" s="94" t="s">
        <v>17</v>
      </c>
      <c r="I39" s="95" t="str">
        <f>SETUP!$B$18</f>
        <v>$</v>
      </c>
      <c r="J39" s="96">
        <f>IF($J9="",0,$J9)</f>
        <v>0</v>
      </c>
      <c r="K39" s="22"/>
      <c r="L39" s="97" t="s">
        <v>17</v>
      </c>
      <c r="N39" s="95" t="str">
        <f>SETUP!$B$18</f>
        <v>$</v>
      </c>
      <c r="O39" s="96">
        <f>IF($J10="",0,$J10)</f>
        <v>0</v>
      </c>
      <c r="P39" s="22"/>
      <c r="Q39" s="98" t="s">
        <v>17</v>
      </c>
      <c r="S39" s="95" t="str">
        <f>SETUP!$B$18</f>
        <v>$</v>
      </c>
      <c r="T39" s="96">
        <f>IF($J11="",0,$J11)</f>
        <v>0</v>
      </c>
      <c r="U39" s="22"/>
      <c r="V39" s="99" t="s">
        <v>17</v>
      </c>
      <c r="X39" s="95" t="str">
        <f>SETUP!$B$18</f>
        <v>$</v>
      </c>
      <c r="Y39" s="96">
        <f>IF($J12="",0,$J12)</f>
        <v>0</v>
      </c>
      <c r="Z39" s="22"/>
      <c r="AA39" s="100" t="s">
        <v>17</v>
      </c>
      <c r="AC39" s="95" t="str">
        <f>SETUP!$B$18</f>
        <v>$</v>
      </c>
      <c r="AD39" s="96">
        <f>IF($J13="",0,$J13)</f>
        <v>0</v>
      </c>
      <c r="AE39" s="23"/>
      <c r="AF39" s="24"/>
      <c r="AG39" s="24"/>
      <c r="AH39" s="24"/>
      <c r="AI39" s="24"/>
      <c r="AJ39" s="22"/>
      <c r="AK39" s="22"/>
    </row>
    <row r="40">
      <c r="A40" s="22"/>
      <c r="B40" s="91"/>
      <c r="C40" s="92"/>
      <c r="D40" s="48" t="str">
        <f>IF(E40="","",SETUP!$B$18)</f>
        <v/>
      </c>
      <c r="E40" s="93"/>
      <c r="F40" s="23"/>
      <c r="G40" s="94" t="s">
        <v>20</v>
      </c>
      <c r="I40" s="95" t="str">
        <f>SETUP!$B$18</f>
        <v>$</v>
      </c>
      <c r="J40" s="96">
        <f>IF($R9="",0,$R9)</f>
        <v>0</v>
      </c>
      <c r="K40" s="22"/>
      <c r="L40" s="97" t="s">
        <v>20</v>
      </c>
      <c r="N40" s="95" t="str">
        <f>SETUP!$B$18</f>
        <v>$</v>
      </c>
      <c r="O40" s="96">
        <f>IF($R10="",0,$R10)</f>
        <v>0</v>
      </c>
      <c r="P40" s="22"/>
      <c r="Q40" s="98" t="s">
        <v>20</v>
      </c>
      <c r="S40" s="95" t="str">
        <f>SETUP!$B$18</f>
        <v>$</v>
      </c>
      <c r="T40" s="96">
        <f>IF($R11="",0,$R11)</f>
        <v>0</v>
      </c>
      <c r="U40" s="22"/>
      <c r="V40" s="99" t="s">
        <v>20</v>
      </c>
      <c r="X40" s="95" t="str">
        <f>SETUP!$B$18</f>
        <v>$</v>
      </c>
      <c r="Y40" s="96">
        <f>IF($R12="",0,$R12)</f>
        <v>0</v>
      </c>
      <c r="Z40" s="22"/>
      <c r="AA40" s="100" t="s">
        <v>20</v>
      </c>
      <c r="AC40" s="95" t="str">
        <f>SETUP!$B$18</f>
        <v>$</v>
      </c>
      <c r="AD40" s="96">
        <f>IF($R13="",0,$R13)</f>
        <v>0</v>
      </c>
      <c r="AE40" s="23"/>
      <c r="AF40" s="24"/>
      <c r="AG40" s="24"/>
      <c r="AH40" s="24"/>
      <c r="AI40" s="24"/>
      <c r="AJ40" s="22"/>
      <c r="AK40" s="22"/>
    </row>
    <row r="41">
      <c r="A41" s="22"/>
      <c r="B41" s="91"/>
      <c r="C41" s="92"/>
      <c r="D41" s="48" t="str">
        <f>IF(E41="","",SETUP!$B$18)</f>
        <v/>
      </c>
      <c r="E41" s="93"/>
      <c r="F41" s="23"/>
      <c r="G41" s="94" t="s">
        <v>21</v>
      </c>
      <c r="I41" s="95" t="str">
        <f>SETUP!$B$18</f>
        <v>$</v>
      </c>
      <c r="J41" s="96">
        <f>IF($T9="",0,$T9)</f>
        <v>0</v>
      </c>
      <c r="K41" s="22"/>
      <c r="L41" s="97" t="s">
        <v>21</v>
      </c>
      <c r="N41" s="95" t="str">
        <f>SETUP!$B$18</f>
        <v>$</v>
      </c>
      <c r="O41" s="96">
        <f>IF($T10="",0,$T10)</f>
        <v>0</v>
      </c>
      <c r="P41" s="22"/>
      <c r="Q41" s="98" t="s">
        <v>21</v>
      </c>
      <c r="S41" s="95" t="str">
        <f>SETUP!$B$18</f>
        <v>$</v>
      </c>
      <c r="T41" s="96">
        <f>IF($T11="",0,$T11)</f>
        <v>0</v>
      </c>
      <c r="U41" s="22"/>
      <c r="V41" s="99" t="s">
        <v>21</v>
      </c>
      <c r="X41" s="95" t="str">
        <f>SETUP!$B$18</f>
        <v>$</v>
      </c>
      <c r="Y41" s="96">
        <f>IF($T12="",0,$T12)</f>
        <v>0</v>
      </c>
      <c r="Z41" s="22"/>
      <c r="AA41" s="100" t="s">
        <v>21</v>
      </c>
      <c r="AC41" s="95" t="str">
        <f>SETUP!$B$18</f>
        <v>$</v>
      </c>
      <c r="AD41" s="96">
        <f>IF($T13="",0,$T13)</f>
        <v>0</v>
      </c>
      <c r="AE41" s="23"/>
      <c r="AF41" s="24"/>
      <c r="AG41" s="24"/>
      <c r="AH41" s="24"/>
      <c r="AI41" s="24"/>
      <c r="AJ41" s="22"/>
      <c r="AK41" s="22"/>
    </row>
    <row r="42">
      <c r="A42" s="22"/>
      <c r="B42" s="91"/>
      <c r="C42" s="92"/>
      <c r="D42" s="48" t="str">
        <f>IF(E42="","",SETUP!$B$18)</f>
        <v/>
      </c>
      <c r="E42" s="93"/>
      <c r="F42" s="23"/>
      <c r="G42" s="94" t="s">
        <v>26</v>
      </c>
      <c r="I42" s="101" t="str">
        <f>$AA9</f>
        <v/>
      </c>
      <c r="J42" s="10"/>
      <c r="K42" s="22"/>
      <c r="L42" s="97" t="s">
        <v>26</v>
      </c>
      <c r="N42" s="101" t="str">
        <f>$AA10</f>
        <v/>
      </c>
      <c r="O42" s="10"/>
      <c r="P42" s="22"/>
      <c r="Q42" s="98" t="s">
        <v>26</v>
      </c>
      <c r="S42" s="101" t="str">
        <f>$AA11</f>
        <v/>
      </c>
      <c r="T42" s="10"/>
      <c r="U42" s="22"/>
      <c r="V42" s="99" t="s">
        <v>26</v>
      </c>
      <c r="X42" s="101" t="str">
        <f>$AA12</f>
        <v/>
      </c>
      <c r="Y42" s="10"/>
      <c r="Z42" s="22"/>
      <c r="AA42" s="100" t="s">
        <v>26</v>
      </c>
      <c r="AC42" s="101" t="str">
        <f>$AA13</f>
        <v/>
      </c>
      <c r="AD42" s="10"/>
      <c r="AE42" s="23"/>
      <c r="AF42" s="24"/>
      <c r="AG42" s="24"/>
      <c r="AH42" s="24"/>
      <c r="AI42" s="24"/>
      <c r="AJ42" s="22"/>
      <c r="AK42" s="22"/>
    </row>
    <row r="43">
      <c r="A43" s="22"/>
      <c r="B43" s="91"/>
      <c r="C43" s="92"/>
      <c r="D43" s="48" t="str">
        <f>IF(E43="","",SETUP!$B$18)</f>
        <v/>
      </c>
      <c r="E43" s="93"/>
      <c r="F43" s="23"/>
      <c r="G43" s="102" t="s">
        <v>24</v>
      </c>
      <c r="H43" s="6"/>
      <c r="I43" s="103" t="str">
        <f>$AC9</f>
        <v/>
      </c>
      <c r="J43" s="7"/>
      <c r="K43" s="22"/>
      <c r="L43" s="104" t="s">
        <v>24</v>
      </c>
      <c r="M43" s="6"/>
      <c r="N43" s="103" t="str">
        <f>$AC10</f>
        <v/>
      </c>
      <c r="O43" s="7"/>
      <c r="P43" s="22"/>
      <c r="Q43" s="105" t="s">
        <v>24</v>
      </c>
      <c r="R43" s="6"/>
      <c r="S43" s="103" t="str">
        <f>$AC11</f>
        <v/>
      </c>
      <c r="T43" s="7"/>
      <c r="U43" s="22"/>
      <c r="V43" s="106" t="s">
        <v>24</v>
      </c>
      <c r="W43" s="6"/>
      <c r="X43" s="103" t="str">
        <f>$AC12</f>
        <v/>
      </c>
      <c r="Y43" s="7"/>
      <c r="Z43" s="22"/>
      <c r="AA43" s="107" t="s">
        <v>24</v>
      </c>
      <c r="AB43" s="6"/>
      <c r="AC43" s="103" t="str">
        <f>$AC13</f>
        <v/>
      </c>
      <c r="AD43" s="7"/>
      <c r="AE43" s="23"/>
      <c r="AF43" s="24"/>
      <c r="AG43" s="24"/>
      <c r="AH43" s="24"/>
      <c r="AI43" s="24"/>
      <c r="AJ43" s="22"/>
      <c r="AK43" s="22"/>
    </row>
    <row r="44">
      <c r="A44" s="22"/>
      <c r="B44" s="108"/>
      <c r="C44" s="92"/>
      <c r="D44" s="48" t="str">
        <f>IF(E44="","",SETUP!$B$18)</f>
        <v/>
      </c>
      <c r="E44" s="109"/>
      <c r="F44" s="23"/>
      <c r="AC44" s="22"/>
      <c r="AD44" s="22"/>
      <c r="AE44" s="23"/>
      <c r="AF44" s="24"/>
      <c r="AG44" s="24"/>
      <c r="AH44" s="24"/>
      <c r="AI44" s="24"/>
      <c r="AJ44" s="22"/>
      <c r="AK44" s="22"/>
    </row>
    <row r="45">
      <c r="A45" s="22"/>
      <c r="B45" s="108"/>
      <c r="C45" s="92"/>
      <c r="D45" s="48" t="str">
        <f>IF(E45="","",SETUP!$B$18)</f>
        <v/>
      </c>
      <c r="E45" s="109"/>
      <c r="F45" s="23"/>
      <c r="G45" s="26" t="str">
        <f>UPPER(G14)</f>
        <v/>
      </c>
      <c r="H45" s="3"/>
      <c r="I45" s="3"/>
      <c r="J45" s="4"/>
      <c r="K45" s="22"/>
      <c r="L45" s="27" t="str">
        <f>UPPER(G15)</f>
        <v/>
      </c>
      <c r="M45" s="3"/>
      <c r="N45" s="3"/>
      <c r="O45" s="4"/>
      <c r="P45" s="22"/>
      <c r="Q45" s="28" t="str">
        <f>UPPER(G16)</f>
        <v/>
      </c>
      <c r="R45" s="3"/>
      <c r="S45" s="3"/>
      <c r="T45" s="4"/>
      <c r="U45" s="22"/>
      <c r="V45" s="29" t="str">
        <f>UPPER(G17)</f>
        <v/>
      </c>
      <c r="W45" s="3"/>
      <c r="X45" s="3"/>
      <c r="Y45" s="4"/>
      <c r="Z45" s="22"/>
      <c r="AA45" s="30" t="str">
        <f>UPPER(G18)</f>
        <v/>
      </c>
      <c r="AB45" s="3"/>
      <c r="AC45" s="3"/>
      <c r="AD45" s="4"/>
      <c r="AE45" s="23"/>
      <c r="AF45" s="24"/>
      <c r="AG45" s="24"/>
      <c r="AH45" s="24"/>
      <c r="AI45" s="24"/>
      <c r="AJ45" s="22"/>
      <c r="AK45" s="22"/>
    </row>
    <row r="46">
      <c r="A46" s="22"/>
      <c r="B46" s="108"/>
      <c r="C46" s="92"/>
      <c r="D46" s="48" t="str">
        <f>IF(E46="","",SETUP!$B$18)</f>
        <v/>
      </c>
      <c r="E46" s="109"/>
      <c r="F46" s="23"/>
      <c r="G46" s="31"/>
      <c r="J46" s="10"/>
      <c r="K46" s="22"/>
      <c r="L46" s="31"/>
      <c r="O46" s="10"/>
      <c r="P46" s="22"/>
      <c r="Q46" s="31"/>
      <c r="T46" s="10"/>
      <c r="U46" s="22"/>
      <c r="V46" s="31"/>
      <c r="Y46" s="10"/>
      <c r="Z46" s="22"/>
      <c r="AA46" s="31"/>
      <c r="AD46" s="10"/>
      <c r="AE46" s="23"/>
      <c r="AF46" s="24"/>
      <c r="AG46" s="24"/>
      <c r="AH46" s="24"/>
      <c r="AI46" s="24"/>
      <c r="AJ46" s="22"/>
      <c r="AK46" s="22"/>
    </row>
    <row r="47">
      <c r="A47" s="22"/>
      <c r="B47" s="108"/>
      <c r="C47" s="92"/>
      <c r="D47" s="48" t="str">
        <f>IF(E47="","",SETUP!$B$18)</f>
        <v/>
      </c>
      <c r="E47" s="109"/>
      <c r="F47" s="23"/>
      <c r="G47" s="89" t="str">
        <f>IF(J58=0,"",J59/J58)</f>
        <v/>
      </c>
      <c r="J47" s="10"/>
      <c r="K47" s="22"/>
      <c r="L47" s="89" t="str">
        <f>IF(O58=0,"",O59/O58)</f>
        <v/>
      </c>
      <c r="O47" s="10"/>
      <c r="P47" s="22"/>
      <c r="Q47" s="89" t="str">
        <f>IF(T58=0,"",T59/T58)</f>
        <v/>
      </c>
      <c r="T47" s="10"/>
      <c r="U47" s="22"/>
      <c r="V47" s="89" t="str">
        <f>IF(Y58=0,"",Y59/Y58)</f>
        <v/>
      </c>
      <c r="Y47" s="10"/>
      <c r="Z47" s="22"/>
      <c r="AA47" s="89" t="str">
        <f>IF(AD58=0,"",AD59/AD58)</f>
        <v/>
      </c>
      <c r="AD47" s="10"/>
      <c r="AE47" s="23"/>
      <c r="AF47" s="24"/>
      <c r="AG47" s="24"/>
      <c r="AH47" s="24"/>
      <c r="AI47" s="24"/>
      <c r="AJ47" s="22"/>
      <c r="AK47" s="22"/>
    </row>
    <row r="48">
      <c r="A48" s="22"/>
      <c r="B48" s="108"/>
      <c r="C48" s="92"/>
      <c r="D48" s="48" t="str">
        <f>IF(E48="","",SETUP!$B$18)</f>
        <v/>
      </c>
      <c r="E48" s="109"/>
      <c r="F48" s="23"/>
      <c r="G48" s="31"/>
      <c r="J48" s="10"/>
      <c r="K48" s="22"/>
      <c r="L48" s="31"/>
      <c r="O48" s="10"/>
      <c r="P48" s="22"/>
      <c r="Q48" s="31"/>
      <c r="T48" s="10"/>
      <c r="U48" s="22"/>
      <c r="V48" s="31"/>
      <c r="Y48" s="10"/>
      <c r="Z48" s="22"/>
      <c r="AA48" s="31"/>
      <c r="AD48" s="10"/>
      <c r="AE48" s="23"/>
      <c r="AF48" s="24"/>
      <c r="AG48" s="24"/>
      <c r="AH48" s="24"/>
      <c r="AI48" s="24"/>
      <c r="AJ48" s="22"/>
      <c r="AK48" s="22"/>
    </row>
    <row r="49">
      <c r="A49" s="22"/>
      <c r="B49" s="108"/>
      <c r="C49" s="92"/>
      <c r="D49" s="48" t="str">
        <f>IF(E49="","",SETUP!$B$18)</f>
        <v/>
      </c>
      <c r="E49" s="109"/>
      <c r="F49" s="23"/>
      <c r="G49" s="31"/>
      <c r="J49" s="10"/>
      <c r="K49" s="22"/>
      <c r="L49" s="31"/>
      <c r="O49" s="10"/>
      <c r="P49" s="22"/>
      <c r="Q49" s="31"/>
      <c r="T49" s="10"/>
      <c r="U49" s="22"/>
      <c r="V49" s="31"/>
      <c r="Y49" s="10"/>
      <c r="Z49" s="22"/>
      <c r="AA49" s="31"/>
      <c r="AD49" s="10"/>
      <c r="AE49" s="23"/>
      <c r="AF49" s="24"/>
      <c r="AG49" s="24"/>
      <c r="AH49" s="24"/>
      <c r="AI49" s="24"/>
      <c r="AJ49" s="22"/>
      <c r="AK49" s="22"/>
    </row>
    <row r="50">
      <c r="A50" s="22"/>
      <c r="B50" s="108"/>
      <c r="C50" s="92"/>
      <c r="D50" s="48" t="str">
        <f>IF(E50="","",SETUP!$B$18)</f>
        <v/>
      </c>
      <c r="E50" s="109"/>
      <c r="F50" s="23"/>
      <c r="G50" s="31"/>
      <c r="J50" s="10"/>
      <c r="K50" s="22"/>
      <c r="L50" s="31"/>
      <c r="O50" s="10"/>
      <c r="P50" s="22"/>
      <c r="Q50" s="31"/>
      <c r="T50" s="10"/>
      <c r="U50" s="22"/>
      <c r="V50" s="31"/>
      <c r="Y50" s="10"/>
      <c r="Z50" s="22"/>
      <c r="AA50" s="31"/>
      <c r="AD50" s="10"/>
      <c r="AE50" s="23"/>
      <c r="AF50" s="24"/>
      <c r="AG50" s="24"/>
      <c r="AH50" s="24"/>
      <c r="AI50" s="24"/>
      <c r="AJ50" s="22"/>
      <c r="AK50" s="22"/>
    </row>
    <row r="51">
      <c r="A51" s="22"/>
      <c r="B51" s="108"/>
      <c r="C51" s="92"/>
      <c r="D51" s="48" t="str">
        <f>IF(E51="","",SETUP!$B$18)</f>
        <v/>
      </c>
      <c r="E51" s="109"/>
      <c r="F51" s="23"/>
      <c r="G51" s="31"/>
      <c r="J51" s="10"/>
      <c r="K51" s="22"/>
      <c r="L51" s="31"/>
      <c r="O51" s="10"/>
      <c r="P51" s="22"/>
      <c r="Q51" s="31"/>
      <c r="T51" s="10"/>
      <c r="U51" s="22"/>
      <c r="V51" s="31"/>
      <c r="Y51" s="10"/>
      <c r="Z51" s="22"/>
      <c r="AA51" s="31"/>
      <c r="AD51" s="10"/>
      <c r="AE51" s="23"/>
      <c r="AF51" s="24"/>
      <c r="AG51" s="24"/>
      <c r="AH51" s="24"/>
      <c r="AI51" s="24"/>
      <c r="AJ51" s="22"/>
      <c r="AK51" s="22"/>
    </row>
    <row r="52">
      <c r="A52" s="22"/>
      <c r="B52" s="108"/>
      <c r="C52" s="92"/>
      <c r="D52" s="48" t="str">
        <f>IF(E52="","",SETUP!$B$18)</f>
        <v/>
      </c>
      <c r="E52" s="109"/>
      <c r="F52" s="23"/>
      <c r="G52" s="31"/>
      <c r="J52" s="10"/>
      <c r="K52" s="22"/>
      <c r="L52" s="31"/>
      <c r="O52" s="10"/>
      <c r="P52" s="22"/>
      <c r="Q52" s="31"/>
      <c r="T52" s="10"/>
      <c r="U52" s="22"/>
      <c r="V52" s="31"/>
      <c r="Y52" s="10"/>
      <c r="Z52" s="22"/>
      <c r="AA52" s="31"/>
      <c r="AD52" s="10"/>
      <c r="AE52" s="23"/>
      <c r="AF52" s="24"/>
      <c r="AG52" s="24"/>
      <c r="AH52" s="24"/>
      <c r="AI52" s="24"/>
      <c r="AJ52" s="22"/>
      <c r="AK52" s="22"/>
    </row>
    <row r="53">
      <c r="A53" s="22"/>
      <c r="B53" s="108"/>
      <c r="C53" s="92"/>
      <c r="D53" s="48" t="str">
        <f>IF(E53="","",SETUP!$B$18)</f>
        <v/>
      </c>
      <c r="E53" s="109"/>
      <c r="F53" s="23"/>
      <c r="G53" s="31"/>
      <c r="J53" s="10"/>
      <c r="K53" s="22"/>
      <c r="L53" s="31"/>
      <c r="O53" s="10"/>
      <c r="P53" s="22"/>
      <c r="Q53" s="31"/>
      <c r="T53" s="10"/>
      <c r="U53" s="22"/>
      <c r="V53" s="31"/>
      <c r="Y53" s="10"/>
      <c r="Z53" s="22"/>
      <c r="AA53" s="31"/>
      <c r="AD53" s="10"/>
      <c r="AE53" s="23"/>
      <c r="AF53" s="24"/>
      <c r="AG53" s="24"/>
      <c r="AH53" s="24"/>
      <c r="AI53" s="24"/>
      <c r="AJ53" s="22"/>
      <c r="AK53" s="22"/>
    </row>
    <row r="54">
      <c r="A54" s="22"/>
      <c r="B54" s="108"/>
      <c r="C54" s="92"/>
      <c r="D54" s="48" t="str">
        <f>IF(E54="","",SETUP!$B$18)</f>
        <v/>
      </c>
      <c r="E54" s="109"/>
      <c r="F54" s="23"/>
      <c r="G54" s="31"/>
      <c r="J54" s="10"/>
      <c r="K54" s="22"/>
      <c r="L54" s="31"/>
      <c r="O54" s="10"/>
      <c r="P54" s="22"/>
      <c r="Q54" s="31"/>
      <c r="T54" s="10"/>
      <c r="U54" s="22"/>
      <c r="V54" s="31"/>
      <c r="Y54" s="10"/>
      <c r="Z54" s="22"/>
      <c r="AA54" s="31"/>
      <c r="AD54" s="10"/>
      <c r="AE54" s="23"/>
      <c r="AF54" s="24"/>
      <c r="AG54" s="24"/>
      <c r="AH54" s="24"/>
      <c r="AI54" s="24"/>
      <c r="AJ54" s="22"/>
      <c r="AK54" s="22"/>
    </row>
    <row r="55">
      <c r="A55" s="22"/>
      <c r="B55" s="108"/>
      <c r="C55" s="92"/>
      <c r="D55" s="48" t="str">
        <f>IF(E55="","",SETUP!$B$18)</f>
        <v/>
      </c>
      <c r="E55" s="109"/>
      <c r="F55" s="23"/>
      <c r="G55" s="31"/>
      <c r="J55" s="10"/>
      <c r="K55" s="22"/>
      <c r="L55" s="31"/>
      <c r="O55" s="10"/>
      <c r="P55" s="22"/>
      <c r="Q55" s="31"/>
      <c r="T55" s="10"/>
      <c r="U55" s="22"/>
      <c r="V55" s="31"/>
      <c r="Y55" s="10"/>
      <c r="Z55" s="22"/>
      <c r="AA55" s="31"/>
      <c r="AD55" s="10"/>
      <c r="AE55" s="23"/>
      <c r="AF55" s="24"/>
      <c r="AG55" s="24"/>
      <c r="AH55" s="24"/>
      <c r="AI55" s="24"/>
      <c r="AJ55" s="22"/>
      <c r="AK55" s="22"/>
    </row>
    <row r="56">
      <c r="A56" s="22"/>
      <c r="B56" s="108"/>
      <c r="C56" s="92"/>
      <c r="D56" s="48" t="str">
        <f>IF(E56="","",SETUP!$B$18)</f>
        <v/>
      </c>
      <c r="E56" s="109"/>
      <c r="F56" s="23"/>
      <c r="G56" s="31"/>
      <c r="J56" s="10"/>
      <c r="L56" s="31"/>
      <c r="O56" s="10"/>
      <c r="Q56" s="31"/>
      <c r="T56" s="10"/>
      <c r="V56" s="31"/>
      <c r="Y56" s="10"/>
      <c r="AA56" s="31"/>
      <c r="AD56" s="10"/>
      <c r="AE56" s="23"/>
      <c r="AF56" s="24"/>
      <c r="AG56" s="24"/>
      <c r="AH56" s="24"/>
      <c r="AI56" s="24"/>
      <c r="AJ56" s="22"/>
      <c r="AK56" s="22"/>
    </row>
    <row r="57">
      <c r="A57" s="22"/>
      <c r="B57" s="110"/>
      <c r="C57" s="111"/>
      <c r="D57" s="48" t="str">
        <f>IF(E57="","",SETUP!$B$18)</f>
        <v/>
      </c>
      <c r="E57" s="112"/>
      <c r="F57" s="23"/>
      <c r="G57" s="31"/>
      <c r="J57" s="10"/>
      <c r="L57" s="31"/>
      <c r="O57" s="10"/>
      <c r="Q57" s="31"/>
      <c r="T57" s="10"/>
      <c r="V57" s="31"/>
      <c r="Y57" s="10"/>
      <c r="AA57" s="31"/>
      <c r="AD57" s="10"/>
      <c r="AE57" s="23"/>
      <c r="AF57" s="24"/>
      <c r="AG57" s="24"/>
      <c r="AH57" s="24"/>
      <c r="AI57" s="24"/>
      <c r="AJ57" s="22"/>
      <c r="AK57" s="22"/>
    </row>
    <row r="58">
      <c r="A58" s="22"/>
      <c r="B58" s="110"/>
      <c r="C58" s="111"/>
      <c r="D58" s="48" t="str">
        <f>IF(E58="","",SETUP!$B$18)</f>
        <v/>
      </c>
      <c r="E58" s="112"/>
      <c r="F58" s="23"/>
      <c r="G58" s="94" t="s">
        <v>17</v>
      </c>
      <c r="I58" s="95" t="str">
        <f>SETUP!$B$18</f>
        <v>$</v>
      </c>
      <c r="J58" s="96">
        <f>IF($J14="",0,$J14)</f>
        <v>0</v>
      </c>
      <c r="K58" s="22"/>
      <c r="L58" s="97" t="s">
        <v>17</v>
      </c>
      <c r="N58" s="95" t="str">
        <f>SETUP!$B$18</f>
        <v>$</v>
      </c>
      <c r="O58" s="96">
        <f>IF($J15="",0,$J15)</f>
        <v>0</v>
      </c>
      <c r="P58" s="22"/>
      <c r="Q58" s="98" t="s">
        <v>17</v>
      </c>
      <c r="S58" s="95" t="str">
        <f>SETUP!$B$18</f>
        <v>$</v>
      </c>
      <c r="T58" s="96">
        <f>IF($J16="",0,$J16)</f>
        <v>0</v>
      </c>
      <c r="U58" s="22"/>
      <c r="V58" s="99" t="s">
        <v>17</v>
      </c>
      <c r="X58" s="95" t="str">
        <f>SETUP!$B$18</f>
        <v>$</v>
      </c>
      <c r="Y58" s="96">
        <f>IF($J17="",0,$J17)</f>
        <v>0</v>
      </c>
      <c r="Z58" s="22"/>
      <c r="AA58" s="100" t="s">
        <v>17</v>
      </c>
      <c r="AC58" s="95" t="str">
        <f>SETUP!$B$18</f>
        <v>$</v>
      </c>
      <c r="AD58" s="96">
        <f>IF($J18="",0,$J18)</f>
        <v>0</v>
      </c>
      <c r="AE58" s="23"/>
      <c r="AF58" s="24"/>
      <c r="AG58" s="24"/>
      <c r="AH58" s="24"/>
      <c r="AI58" s="24"/>
      <c r="AJ58" s="22"/>
      <c r="AK58" s="22"/>
    </row>
    <row r="59">
      <c r="A59" s="22"/>
      <c r="B59" s="110"/>
      <c r="C59" s="111"/>
      <c r="D59" s="48" t="str">
        <f>IF(E59="","",SETUP!$B$18)</f>
        <v/>
      </c>
      <c r="E59" s="112"/>
      <c r="F59" s="23"/>
      <c r="G59" s="94" t="s">
        <v>20</v>
      </c>
      <c r="I59" s="95" t="str">
        <f>SETUP!$B$18</f>
        <v>$</v>
      </c>
      <c r="J59" s="96">
        <f>IF($R14="",0,$R14)</f>
        <v>0</v>
      </c>
      <c r="K59" s="22"/>
      <c r="L59" s="97" t="s">
        <v>20</v>
      </c>
      <c r="N59" s="95" t="str">
        <f>SETUP!$B$18</f>
        <v>$</v>
      </c>
      <c r="O59" s="96">
        <f>IF($R15="",0,$R15)</f>
        <v>0</v>
      </c>
      <c r="P59" s="22"/>
      <c r="Q59" s="98" t="s">
        <v>20</v>
      </c>
      <c r="S59" s="95" t="str">
        <f>SETUP!$B$18</f>
        <v>$</v>
      </c>
      <c r="T59" s="96">
        <f>IF($R16="",0,$R16)</f>
        <v>0</v>
      </c>
      <c r="U59" s="22"/>
      <c r="V59" s="99" t="s">
        <v>20</v>
      </c>
      <c r="X59" s="95" t="str">
        <f>SETUP!$B$18</f>
        <v>$</v>
      </c>
      <c r="Y59" s="96">
        <f>IF($R17="",0,$R17)</f>
        <v>0</v>
      </c>
      <c r="Z59" s="22"/>
      <c r="AA59" s="100" t="s">
        <v>20</v>
      </c>
      <c r="AC59" s="95" t="str">
        <f>SETUP!$B$18</f>
        <v>$</v>
      </c>
      <c r="AD59" s="96">
        <f>IF($R18="",0,$R18)</f>
        <v>0</v>
      </c>
      <c r="AE59" s="23"/>
      <c r="AF59" s="24"/>
      <c r="AG59" s="24"/>
      <c r="AH59" s="24"/>
      <c r="AI59" s="24"/>
      <c r="AJ59" s="22"/>
      <c r="AK59" s="22"/>
    </row>
    <row r="60">
      <c r="A60" s="22"/>
      <c r="B60" s="110"/>
      <c r="C60" s="111"/>
      <c r="D60" s="48" t="str">
        <f>IF(E60="","",SETUP!$B$18)</f>
        <v/>
      </c>
      <c r="E60" s="112"/>
      <c r="F60" s="23"/>
      <c r="G60" s="94" t="s">
        <v>21</v>
      </c>
      <c r="I60" s="95" t="str">
        <f>SETUP!$B$18</f>
        <v>$</v>
      </c>
      <c r="J60" s="96">
        <f>IF($T14="",0,$T14)</f>
        <v>0</v>
      </c>
      <c r="K60" s="22"/>
      <c r="L60" s="97" t="s">
        <v>21</v>
      </c>
      <c r="N60" s="95" t="str">
        <f>SETUP!$B$18</f>
        <v>$</v>
      </c>
      <c r="O60" s="96">
        <f>IF($T15="",0,$T15)</f>
        <v>0</v>
      </c>
      <c r="P60" s="22"/>
      <c r="Q60" s="98" t="s">
        <v>21</v>
      </c>
      <c r="S60" s="95" t="str">
        <f>SETUP!$B$18</f>
        <v>$</v>
      </c>
      <c r="T60" s="96">
        <f>IF($T16="",0,$T16)</f>
        <v>0</v>
      </c>
      <c r="U60" s="22"/>
      <c r="V60" s="99" t="s">
        <v>21</v>
      </c>
      <c r="X60" s="95" t="str">
        <f>SETUP!$B$18</f>
        <v>$</v>
      </c>
      <c r="Y60" s="96">
        <f>IF($T17="",0,$T17)</f>
        <v>0</v>
      </c>
      <c r="Z60" s="22"/>
      <c r="AA60" s="100" t="s">
        <v>21</v>
      </c>
      <c r="AC60" s="95" t="str">
        <f>SETUP!$B$18</f>
        <v>$</v>
      </c>
      <c r="AD60" s="96">
        <f>IF($T18="",0,$T18)</f>
        <v>0</v>
      </c>
      <c r="AE60" s="23"/>
      <c r="AF60" s="24"/>
      <c r="AG60" s="24"/>
      <c r="AH60" s="24"/>
      <c r="AI60" s="24"/>
      <c r="AJ60" s="22"/>
      <c r="AK60" s="22"/>
    </row>
    <row r="61">
      <c r="A61" s="22"/>
      <c r="B61" s="110"/>
      <c r="C61" s="111"/>
      <c r="D61" s="48" t="str">
        <f>IF(E61="","",SETUP!$B$18)</f>
        <v/>
      </c>
      <c r="E61" s="112"/>
      <c r="F61" s="23"/>
      <c r="G61" s="94" t="s">
        <v>26</v>
      </c>
      <c r="I61" s="101" t="str">
        <f>$AA14</f>
        <v/>
      </c>
      <c r="J61" s="10"/>
      <c r="K61" s="22"/>
      <c r="L61" s="97" t="s">
        <v>26</v>
      </c>
      <c r="N61" s="101" t="str">
        <f>$AA15</f>
        <v/>
      </c>
      <c r="O61" s="10"/>
      <c r="P61" s="22"/>
      <c r="Q61" s="98" t="s">
        <v>26</v>
      </c>
      <c r="S61" s="101" t="str">
        <f>$AA16</f>
        <v/>
      </c>
      <c r="T61" s="10"/>
      <c r="U61" s="22"/>
      <c r="V61" s="99" t="s">
        <v>26</v>
      </c>
      <c r="X61" s="101" t="str">
        <f>$AA17</f>
        <v/>
      </c>
      <c r="Y61" s="10"/>
      <c r="Z61" s="22"/>
      <c r="AA61" s="100" t="s">
        <v>26</v>
      </c>
      <c r="AC61" s="101" t="str">
        <f>$AA18</f>
        <v/>
      </c>
      <c r="AD61" s="10"/>
      <c r="AE61" s="23"/>
      <c r="AF61" s="24"/>
      <c r="AG61" s="24"/>
      <c r="AH61" s="24"/>
      <c r="AI61" s="24"/>
      <c r="AJ61" s="22"/>
      <c r="AK61" s="22"/>
    </row>
    <row r="62">
      <c r="A62" s="22"/>
      <c r="B62" s="110"/>
      <c r="C62" s="111"/>
      <c r="D62" s="48" t="str">
        <f>IF(E62="","",SETUP!$B$18)</f>
        <v/>
      </c>
      <c r="E62" s="112"/>
      <c r="F62" s="23"/>
      <c r="G62" s="102" t="s">
        <v>24</v>
      </c>
      <c r="H62" s="6"/>
      <c r="I62" s="103" t="str">
        <f>$AC14</f>
        <v/>
      </c>
      <c r="J62" s="7"/>
      <c r="K62" s="22"/>
      <c r="L62" s="104" t="s">
        <v>24</v>
      </c>
      <c r="M62" s="6"/>
      <c r="N62" s="103" t="str">
        <f>$AC15</f>
        <v/>
      </c>
      <c r="O62" s="7"/>
      <c r="P62" s="22"/>
      <c r="Q62" s="105" t="s">
        <v>24</v>
      </c>
      <c r="R62" s="6"/>
      <c r="S62" s="103" t="str">
        <f>$AC16</f>
        <v/>
      </c>
      <c r="T62" s="7"/>
      <c r="U62" s="22"/>
      <c r="V62" s="106" t="s">
        <v>24</v>
      </c>
      <c r="W62" s="6"/>
      <c r="X62" s="103" t="str">
        <f>$AC17</f>
        <v/>
      </c>
      <c r="Y62" s="7"/>
      <c r="Z62" s="22"/>
      <c r="AA62" s="107" t="s">
        <v>24</v>
      </c>
      <c r="AB62" s="6"/>
      <c r="AC62" s="103" t="str">
        <f>$AC18</f>
        <v/>
      </c>
      <c r="AD62" s="7"/>
      <c r="AE62" s="23"/>
      <c r="AF62" s="24"/>
      <c r="AG62" s="24"/>
      <c r="AH62" s="24"/>
      <c r="AI62" s="24"/>
      <c r="AJ62" s="22"/>
      <c r="AK62" s="22"/>
    </row>
    <row r="63">
      <c r="A63" s="22"/>
      <c r="B63" s="110"/>
      <c r="C63" s="111"/>
      <c r="D63" s="48" t="str">
        <f>IF(E63="","",SETUP!$B$18)</f>
        <v/>
      </c>
      <c r="E63" s="112"/>
      <c r="F63" s="23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3"/>
      <c r="AF63" s="24"/>
      <c r="AG63" s="24"/>
      <c r="AH63" s="24"/>
      <c r="AI63" s="24"/>
      <c r="AJ63" s="22"/>
      <c r="AK63" s="22"/>
    </row>
    <row r="64">
      <c r="A64" s="22"/>
      <c r="B64" s="110"/>
      <c r="C64" s="111"/>
      <c r="D64" s="48" t="str">
        <f>IF(E64="","",SETUP!$B$18)</f>
        <v/>
      </c>
      <c r="E64" s="112"/>
      <c r="F64" s="23"/>
      <c r="G64" s="26" t="str">
        <f>UPPER(G19)</f>
        <v/>
      </c>
      <c r="H64" s="3"/>
      <c r="I64" s="3"/>
      <c r="J64" s="4"/>
      <c r="K64" s="22"/>
      <c r="L64" s="27" t="str">
        <f>UPPER(G20)</f>
        <v/>
      </c>
      <c r="M64" s="3"/>
      <c r="N64" s="3"/>
      <c r="O64" s="4"/>
      <c r="P64" s="22"/>
      <c r="Q64" s="28" t="str">
        <f>UPPER(G21)</f>
        <v/>
      </c>
      <c r="R64" s="3"/>
      <c r="S64" s="3"/>
      <c r="T64" s="4"/>
      <c r="U64" s="22"/>
      <c r="V64" s="29" t="str">
        <f>UPPER(G22)</f>
        <v/>
      </c>
      <c r="W64" s="3"/>
      <c r="X64" s="3"/>
      <c r="Y64" s="4"/>
      <c r="Z64" s="22"/>
      <c r="AA64" s="30" t="str">
        <f>UPPER(G23)</f>
        <v/>
      </c>
      <c r="AB64" s="3"/>
      <c r="AC64" s="3"/>
      <c r="AD64" s="4"/>
      <c r="AE64" s="23"/>
      <c r="AF64" s="24"/>
      <c r="AG64" s="24"/>
      <c r="AH64" s="24"/>
      <c r="AI64" s="24"/>
      <c r="AJ64" s="22"/>
      <c r="AK64" s="22"/>
    </row>
    <row r="65">
      <c r="A65" s="22"/>
      <c r="B65" s="110"/>
      <c r="C65" s="111"/>
      <c r="D65" s="48" t="str">
        <f>IF(E65="","",SETUP!$B$18)</f>
        <v/>
      </c>
      <c r="E65" s="112"/>
      <c r="F65" s="23"/>
      <c r="G65" s="31"/>
      <c r="J65" s="10"/>
      <c r="K65" s="22"/>
      <c r="L65" s="31"/>
      <c r="O65" s="10"/>
      <c r="P65" s="22"/>
      <c r="Q65" s="31"/>
      <c r="T65" s="10"/>
      <c r="U65" s="22"/>
      <c r="V65" s="31"/>
      <c r="Y65" s="10"/>
      <c r="Z65" s="22"/>
      <c r="AA65" s="31"/>
      <c r="AD65" s="10"/>
      <c r="AE65" s="23"/>
      <c r="AF65" s="24"/>
      <c r="AG65" s="24"/>
      <c r="AH65" s="24"/>
      <c r="AI65" s="24"/>
      <c r="AJ65" s="22"/>
      <c r="AK65" s="22"/>
    </row>
    <row r="66">
      <c r="A66" s="22"/>
      <c r="B66" s="110"/>
      <c r="C66" s="111"/>
      <c r="D66" s="48" t="str">
        <f>IF(E66="","",SETUP!$B$18)</f>
        <v/>
      </c>
      <c r="E66" s="112"/>
      <c r="F66" s="23"/>
      <c r="G66" s="89" t="str">
        <f>IF(J77=0,"",J78/J77)</f>
        <v/>
      </c>
      <c r="J66" s="10"/>
      <c r="K66" s="22"/>
      <c r="L66" s="89" t="str">
        <f>IF(O77=0,"",O78/O77)</f>
        <v/>
      </c>
      <c r="O66" s="10"/>
      <c r="P66" s="22"/>
      <c r="Q66" s="89" t="str">
        <f>IF(T77=0,"",T78/T77)</f>
        <v/>
      </c>
      <c r="T66" s="10"/>
      <c r="U66" s="22"/>
      <c r="V66" s="89" t="str">
        <f>IF(Y77=0,"",Y78/Y77)</f>
        <v/>
      </c>
      <c r="Y66" s="10"/>
      <c r="Z66" s="22"/>
      <c r="AA66" s="89" t="str">
        <f>IF(AD77=0,"",AD78/AD77)</f>
        <v/>
      </c>
      <c r="AD66" s="10"/>
      <c r="AE66" s="23"/>
      <c r="AF66" s="24"/>
      <c r="AG66" s="24"/>
      <c r="AH66" s="24"/>
      <c r="AI66" s="24"/>
      <c r="AJ66" s="22"/>
      <c r="AK66" s="22"/>
    </row>
    <row r="67">
      <c r="A67" s="22"/>
      <c r="B67" s="110"/>
      <c r="C67" s="111"/>
      <c r="D67" s="48" t="str">
        <f>IF(E67="","",SETUP!$B$18)</f>
        <v/>
      </c>
      <c r="E67" s="112"/>
      <c r="F67" s="23"/>
      <c r="G67" s="31"/>
      <c r="J67" s="10"/>
      <c r="K67" s="22"/>
      <c r="L67" s="31"/>
      <c r="O67" s="10"/>
      <c r="P67" s="22"/>
      <c r="Q67" s="31"/>
      <c r="T67" s="10"/>
      <c r="U67" s="22"/>
      <c r="V67" s="31"/>
      <c r="Y67" s="10"/>
      <c r="Z67" s="22"/>
      <c r="AA67" s="31"/>
      <c r="AD67" s="10"/>
      <c r="AE67" s="23"/>
      <c r="AF67" s="24"/>
      <c r="AG67" s="24"/>
      <c r="AH67" s="24"/>
      <c r="AI67" s="24"/>
      <c r="AJ67" s="22"/>
      <c r="AK67" s="22"/>
    </row>
    <row r="68">
      <c r="A68" s="22"/>
      <c r="B68" s="110"/>
      <c r="C68" s="111"/>
      <c r="D68" s="48" t="str">
        <f>IF(E68="","",SETUP!$B$18)</f>
        <v/>
      </c>
      <c r="E68" s="112"/>
      <c r="F68" s="23"/>
      <c r="G68" s="31"/>
      <c r="J68" s="10"/>
      <c r="K68" s="22"/>
      <c r="L68" s="31"/>
      <c r="O68" s="10"/>
      <c r="P68" s="22"/>
      <c r="Q68" s="31"/>
      <c r="T68" s="10"/>
      <c r="U68" s="22"/>
      <c r="V68" s="31"/>
      <c r="Y68" s="10"/>
      <c r="Z68" s="22"/>
      <c r="AA68" s="31"/>
      <c r="AD68" s="10"/>
      <c r="AE68" s="23"/>
      <c r="AF68" s="24"/>
      <c r="AG68" s="24"/>
      <c r="AH68" s="24"/>
      <c r="AI68" s="24"/>
      <c r="AJ68" s="22"/>
      <c r="AK68" s="22"/>
    </row>
    <row r="69">
      <c r="A69" s="22"/>
      <c r="B69" s="110"/>
      <c r="C69" s="111"/>
      <c r="D69" s="48" t="str">
        <f>IF(E69="","",SETUP!$B$18)</f>
        <v/>
      </c>
      <c r="E69" s="112"/>
      <c r="F69" s="23"/>
      <c r="G69" s="31"/>
      <c r="J69" s="10"/>
      <c r="K69" s="22"/>
      <c r="L69" s="31"/>
      <c r="O69" s="10"/>
      <c r="P69" s="22"/>
      <c r="Q69" s="31"/>
      <c r="T69" s="10"/>
      <c r="U69" s="22"/>
      <c r="V69" s="31"/>
      <c r="Y69" s="10"/>
      <c r="Z69" s="22"/>
      <c r="AA69" s="31"/>
      <c r="AD69" s="10"/>
      <c r="AE69" s="23"/>
      <c r="AF69" s="24"/>
      <c r="AG69" s="24"/>
      <c r="AH69" s="24"/>
      <c r="AI69" s="24"/>
      <c r="AJ69" s="22"/>
      <c r="AK69" s="22"/>
    </row>
    <row r="70">
      <c r="A70" s="22"/>
      <c r="B70" s="110"/>
      <c r="C70" s="111"/>
      <c r="D70" s="48" t="str">
        <f>IF(E70="","",SETUP!$B$18)</f>
        <v/>
      </c>
      <c r="E70" s="112"/>
      <c r="F70" s="23"/>
      <c r="G70" s="31"/>
      <c r="J70" s="10"/>
      <c r="K70" s="22"/>
      <c r="L70" s="31"/>
      <c r="O70" s="10"/>
      <c r="P70" s="22"/>
      <c r="Q70" s="31"/>
      <c r="T70" s="10"/>
      <c r="U70" s="22"/>
      <c r="V70" s="31"/>
      <c r="Y70" s="10"/>
      <c r="Z70" s="22"/>
      <c r="AA70" s="31"/>
      <c r="AD70" s="10"/>
      <c r="AE70" s="23"/>
      <c r="AF70" s="24"/>
      <c r="AG70" s="24"/>
      <c r="AH70" s="24"/>
      <c r="AI70" s="24"/>
      <c r="AJ70" s="22"/>
      <c r="AK70" s="22"/>
    </row>
    <row r="71">
      <c r="A71" s="22"/>
      <c r="B71" s="110"/>
      <c r="C71" s="111"/>
      <c r="D71" s="48" t="str">
        <f>IF(E71="","",SETUP!$B$18)</f>
        <v/>
      </c>
      <c r="E71" s="112"/>
      <c r="F71" s="23"/>
      <c r="G71" s="31"/>
      <c r="J71" s="10"/>
      <c r="K71" s="22"/>
      <c r="L71" s="31"/>
      <c r="O71" s="10"/>
      <c r="P71" s="22"/>
      <c r="Q71" s="31"/>
      <c r="T71" s="10"/>
      <c r="U71" s="22"/>
      <c r="V71" s="31"/>
      <c r="Y71" s="10"/>
      <c r="Z71" s="22"/>
      <c r="AA71" s="31"/>
      <c r="AD71" s="10"/>
      <c r="AE71" s="23"/>
      <c r="AF71" s="24"/>
      <c r="AG71" s="24"/>
      <c r="AH71" s="24"/>
      <c r="AI71" s="24"/>
      <c r="AJ71" s="22"/>
      <c r="AK71" s="22"/>
    </row>
    <row r="72">
      <c r="A72" s="22"/>
      <c r="B72" s="110"/>
      <c r="C72" s="111"/>
      <c r="D72" s="48" t="str">
        <f>IF(E72="","",SETUP!$B$18)</f>
        <v/>
      </c>
      <c r="E72" s="112"/>
      <c r="F72" s="23"/>
      <c r="G72" s="31"/>
      <c r="J72" s="10"/>
      <c r="K72" s="22"/>
      <c r="L72" s="31"/>
      <c r="O72" s="10"/>
      <c r="P72" s="22"/>
      <c r="Q72" s="31"/>
      <c r="T72" s="10"/>
      <c r="U72" s="22"/>
      <c r="V72" s="31"/>
      <c r="Y72" s="10"/>
      <c r="Z72" s="22"/>
      <c r="AA72" s="31"/>
      <c r="AD72" s="10"/>
      <c r="AE72" s="23"/>
      <c r="AF72" s="24"/>
      <c r="AG72" s="24"/>
      <c r="AH72" s="24"/>
      <c r="AI72" s="24"/>
      <c r="AJ72" s="22"/>
      <c r="AK72" s="22"/>
    </row>
    <row r="73">
      <c r="A73" s="22"/>
      <c r="B73" s="110"/>
      <c r="C73" s="111"/>
      <c r="D73" s="48" t="str">
        <f>IF(E73="","",SETUP!$B$18)</f>
        <v/>
      </c>
      <c r="E73" s="112"/>
      <c r="F73" s="23"/>
      <c r="G73" s="31"/>
      <c r="J73" s="10"/>
      <c r="K73" s="22"/>
      <c r="L73" s="31"/>
      <c r="O73" s="10"/>
      <c r="P73" s="22"/>
      <c r="Q73" s="31"/>
      <c r="T73" s="10"/>
      <c r="U73" s="22"/>
      <c r="V73" s="31"/>
      <c r="Y73" s="10"/>
      <c r="Z73" s="22"/>
      <c r="AA73" s="31"/>
      <c r="AD73" s="10"/>
      <c r="AE73" s="23"/>
      <c r="AF73" s="24"/>
      <c r="AG73" s="24"/>
      <c r="AH73" s="24"/>
      <c r="AI73" s="24"/>
      <c r="AJ73" s="22"/>
      <c r="AK73" s="22"/>
    </row>
    <row r="74">
      <c r="A74" s="22"/>
      <c r="B74" s="110"/>
      <c r="C74" s="111"/>
      <c r="D74" s="48" t="str">
        <f>IF(E74="","",SETUP!$B$18)</f>
        <v/>
      </c>
      <c r="E74" s="112"/>
      <c r="F74" s="23"/>
      <c r="G74" s="31"/>
      <c r="J74" s="10"/>
      <c r="K74" s="22"/>
      <c r="L74" s="31"/>
      <c r="O74" s="10"/>
      <c r="P74" s="22"/>
      <c r="Q74" s="31"/>
      <c r="T74" s="10"/>
      <c r="U74" s="22"/>
      <c r="V74" s="31"/>
      <c r="Y74" s="10"/>
      <c r="Z74" s="22"/>
      <c r="AA74" s="31"/>
      <c r="AD74" s="10"/>
      <c r="AE74" s="23"/>
      <c r="AF74" s="24"/>
      <c r="AG74" s="24"/>
      <c r="AH74" s="24"/>
      <c r="AI74" s="24"/>
      <c r="AJ74" s="22"/>
      <c r="AK74" s="22"/>
    </row>
    <row r="75">
      <c r="A75" s="22"/>
      <c r="B75" s="110"/>
      <c r="C75" s="111"/>
      <c r="D75" s="48" t="str">
        <f>IF(E75="","",SETUP!$B$18)</f>
        <v/>
      </c>
      <c r="E75" s="112"/>
      <c r="F75" s="23"/>
      <c r="G75" s="31"/>
      <c r="J75" s="10"/>
      <c r="L75" s="31"/>
      <c r="O75" s="10"/>
      <c r="Q75" s="31"/>
      <c r="T75" s="10"/>
      <c r="V75" s="31"/>
      <c r="Y75" s="10"/>
      <c r="AA75" s="31"/>
      <c r="AD75" s="10"/>
      <c r="AE75" s="23"/>
      <c r="AF75" s="24"/>
      <c r="AG75" s="24"/>
      <c r="AH75" s="24"/>
      <c r="AI75" s="24"/>
      <c r="AJ75" s="22"/>
      <c r="AK75" s="22"/>
    </row>
    <row r="76">
      <c r="A76" s="22"/>
      <c r="B76" s="110"/>
      <c r="C76" s="111"/>
      <c r="D76" s="48" t="str">
        <f>IF(E76="","",SETUP!$B$18)</f>
        <v/>
      </c>
      <c r="E76" s="112"/>
      <c r="F76" s="23"/>
      <c r="G76" s="31"/>
      <c r="J76" s="10"/>
      <c r="L76" s="31"/>
      <c r="O76" s="10"/>
      <c r="Q76" s="31"/>
      <c r="T76" s="10"/>
      <c r="V76" s="31"/>
      <c r="Y76" s="10"/>
      <c r="AA76" s="31"/>
      <c r="AD76" s="10"/>
      <c r="AE76" s="23"/>
      <c r="AF76" s="24"/>
      <c r="AG76" s="24"/>
      <c r="AH76" s="24"/>
      <c r="AI76" s="24"/>
      <c r="AJ76" s="22"/>
      <c r="AK76" s="22"/>
    </row>
    <row r="77">
      <c r="A77" s="22"/>
      <c r="B77" s="110"/>
      <c r="C77" s="111"/>
      <c r="D77" s="48" t="str">
        <f>IF(E77="","",SETUP!$B$18)</f>
        <v/>
      </c>
      <c r="E77" s="112"/>
      <c r="F77" s="23"/>
      <c r="G77" s="94" t="s">
        <v>17</v>
      </c>
      <c r="I77" s="95" t="str">
        <f>SETUP!$B$18</f>
        <v>$</v>
      </c>
      <c r="J77" s="96">
        <f>IF($J19="",0,$J19)</f>
        <v>0</v>
      </c>
      <c r="K77" s="22"/>
      <c r="L77" s="97" t="s">
        <v>17</v>
      </c>
      <c r="N77" s="95" t="str">
        <f>SETUP!$B$18</f>
        <v>$</v>
      </c>
      <c r="O77" s="96">
        <f>IF($J20="",0,$J20)</f>
        <v>0</v>
      </c>
      <c r="P77" s="22"/>
      <c r="Q77" s="98" t="s">
        <v>17</v>
      </c>
      <c r="S77" s="95" t="str">
        <f>SETUP!$B$18</f>
        <v>$</v>
      </c>
      <c r="T77" s="96">
        <f>IF($J21="",0,$J21)</f>
        <v>0</v>
      </c>
      <c r="U77" s="22"/>
      <c r="V77" s="99" t="s">
        <v>17</v>
      </c>
      <c r="X77" s="95" t="str">
        <f>SETUP!$B$18</f>
        <v>$</v>
      </c>
      <c r="Y77" s="96">
        <f>IF($J22="",0,$J22)</f>
        <v>0</v>
      </c>
      <c r="Z77" s="22"/>
      <c r="AA77" s="100" t="s">
        <v>17</v>
      </c>
      <c r="AC77" s="95" t="str">
        <f>SETUP!$B$18</f>
        <v>$</v>
      </c>
      <c r="AD77" s="96">
        <f>IF($J23="",0,$J23)</f>
        <v>0</v>
      </c>
      <c r="AE77" s="23"/>
      <c r="AF77" s="24"/>
      <c r="AG77" s="24"/>
      <c r="AH77" s="24"/>
      <c r="AI77" s="24"/>
      <c r="AJ77" s="22"/>
      <c r="AK77" s="22"/>
    </row>
    <row r="78">
      <c r="A78" s="22"/>
      <c r="B78" s="110"/>
      <c r="C78" s="111"/>
      <c r="D78" s="48" t="str">
        <f>IF(E78="","",SETUP!$B$18)</f>
        <v/>
      </c>
      <c r="E78" s="112"/>
      <c r="F78" s="23"/>
      <c r="G78" s="94" t="s">
        <v>20</v>
      </c>
      <c r="I78" s="95" t="str">
        <f>SETUP!$B$18</f>
        <v>$</v>
      </c>
      <c r="J78" s="96">
        <f>IF($R19="",0,$R19)</f>
        <v>0</v>
      </c>
      <c r="K78" s="22"/>
      <c r="L78" s="97" t="s">
        <v>20</v>
      </c>
      <c r="N78" s="95" t="str">
        <f>SETUP!$B$18</f>
        <v>$</v>
      </c>
      <c r="O78" s="96">
        <f>IF($R20="",0,$R20)</f>
        <v>0</v>
      </c>
      <c r="P78" s="22"/>
      <c r="Q78" s="98" t="s">
        <v>20</v>
      </c>
      <c r="S78" s="95" t="str">
        <f>SETUP!$B$18</f>
        <v>$</v>
      </c>
      <c r="T78" s="96">
        <f>IF($R21="",0,$R21)</f>
        <v>0</v>
      </c>
      <c r="U78" s="22"/>
      <c r="V78" s="99" t="s">
        <v>20</v>
      </c>
      <c r="X78" s="95" t="str">
        <f>SETUP!$B$18</f>
        <v>$</v>
      </c>
      <c r="Y78" s="96">
        <f>IF($R22="",0,$R22)</f>
        <v>0</v>
      </c>
      <c r="Z78" s="22"/>
      <c r="AA78" s="100" t="s">
        <v>20</v>
      </c>
      <c r="AC78" s="95" t="str">
        <f>SETUP!$B$18</f>
        <v>$</v>
      </c>
      <c r="AD78" s="96">
        <f>IF($R23="",0,$R23)</f>
        <v>0</v>
      </c>
      <c r="AE78" s="23"/>
      <c r="AF78" s="24"/>
      <c r="AG78" s="24"/>
      <c r="AH78" s="24"/>
      <c r="AI78" s="24"/>
      <c r="AJ78" s="22"/>
      <c r="AK78" s="22"/>
    </row>
    <row r="79">
      <c r="A79" s="22"/>
      <c r="B79" s="110"/>
      <c r="C79" s="111"/>
      <c r="D79" s="48" t="str">
        <f>IF(E79="","",SETUP!$B$18)</f>
        <v/>
      </c>
      <c r="E79" s="112"/>
      <c r="F79" s="23"/>
      <c r="G79" s="94" t="s">
        <v>21</v>
      </c>
      <c r="I79" s="95" t="str">
        <f>SETUP!$B$18</f>
        <v>$</v>
      </c>
      <c r="J79" s="96">
        <f>IF($T19="",0,$T19)</f>
        <v>0</v>
      </c>
      <c r="K79" s="22"/>
      <c r="L79" s="97" t="s">
        <v>21</v>
      </c>
      <c r="N79" s="95" t="str">
        <f>SETUP!$B$18</f>
        <v>$</v>
      </c>
      <c r="O79" s="96">
        <f>IF($T20="",0,$T20)</f>
        <v>0</v>
      </c>
      <c r="P79" s="22"/>
      <c r="Q79" s="98" t="s">
        <v>21</v>
      </c>
      <c r="S79" s="95" t="str">
        <f>SETUP!$B$18</f>
        <v>$</v>
      </c>
      <c r="T79" s="96">
        <f>IF($T21="",0,$T21)</f>
        <v>0</v>
      </c>
      <c r="U79" s="22"/>
      <c r="V79" s="99" t="s">
        <v>21</v>
      </c>
      <c r="X79" s="95" t="str">
        <f>SETUP!$B$18</f>
        <v>$</v>
      </c>
      <c r="Y79" s="96">
        <f>IF($T22="",0,$T22)</f>
        <v>0</v>
      </c>
      <c r="Z79" s="22"/>
      <c r="AA79" s="100" t="s">
        <v>21</v>
      </c>
      <c r="AC79" s="95" t="str">
        <f>SETUP!$B$18</f>
        <v>$</v>
      </c>
      <c r="AD79" s="96">
        <f>IF($T23="",0,$T23)</f>
        <v>0</v>
      </c>
      <c r="AE79" s="23"/>
      <c r="AF79" s="24"/>
      <c r="AG79" s="24"/>
      <c r="AH79" s="24"/>
      <c r="AI79" s="24"/>
      <c r="AJ79" s="22"/>
      <c r="AK79" s="22"/>
    </row>
    <row r="80">
      <c r="A80" s="22"/>
      <c r="B80" s="110"/>
      <c r="C80" s="111"/>
      <c r="D80" s="48" t="str">
        <f>IF(E80="","",SETUP!$B$18)</f>
        <v/>
      </c>
      <c r="E80" s="112"/>
      <c r="F80" s="23"/>
      <c r="G80" s="94" t="s">
        <v>26</v>
      </c>
      <c r="I80" s="101" t="str">
        <f>$AA19</f>
        <v/>
      </c>
      <c r="J80" s="10"/>
      <c r="K80" s="22"/>
      <c r="L80" s="97" t="s">
        <v>26</v>
      </c>
      <c r="N80" s="101" t="str">
        <f>$AA20</f>
        <v/>
      </c>
      <c r="O80" s="10"/>
      <c r="P80" s="22"/>
      <c r="Q80" s="98" t="s">
        <v>26</v>
      </c>
      <c r="S80" s="101" t="str">
        <f>$AA21</f>
        <v/>
      </c>
      <c r="T80" s="10"/>
      <c r="U80" s="22"/>
      <c r="V80" s="99" t="s">
        <v>26</v>
      </c>
      <c r="X80" s="101" t="str">
        <f>$AA22</f>
        <v/>
      </c>
      <c r="Y80" s="10"/>
      <c r="Z80" s="22"/>
      <c r="AA80" s="100" t="s">
        <v>26</v>
      </c>
      <c r="AC80" s="101" t="str">
        <f>$AA23</f>
        <v/>
      </c>
      <c r="AD80" s="10"/>
      <c r="AE80" s="23"/>
      <c r="AF80" s="24"/>
      <c r="AG80" s="24"/>
      <c r="AH80" s="24"/>
      <c r="AI80" s="24"/>
      <c r="AJ80" s="22"/>
      <c r="AK80" s="22"/>
    </row>
    <row r="81">
      <c r="A81" s="22"/>
      <c r="B81" s="113"/>
      <c r="C81" s="114"/>
      <c r="D81" s="115" t="str">
        <f>IF(E81="","",SETUP!$B$18)</f>
        <v/>
      </c>
      <c r="E81" s="116"/>
      <c r="F81" s="23"/>
      <c r="G81" s="102" t="s">
        <v>24</v>
      </c>
      <c r="H81" s="6"/>
      <c r="I81" s="103" t="str">
        <f>$AC19</f>
        <v/>
      </c>
      <c r="J81" s="7"/>
      <c r="K81" s="22"/>
      <c r="L81" s="104" t="s">
        <v>24</v>
      </c>
      <c r="M81" s="6"/>
      <c r="N81" s="103" t="str">
        <f>$AC20</f>
        <v/>
      </c>
      <c r="O81" s="7"/>
      <c r="P81" s="22"/>
      <c r="Q81" s="105" t="s">
        <v>24</v>
      </c>
      <c r="R81" s="6"/>
      <c r="S81" s="103" t="str">
        <f>$AC21</f>
        <v/>
      </c>
      <c r="T81" s="7"/>
      <c r="U81" s="22"/>
      <c r="V81" s="106" t="s">
        <v>24</v>
      </c>
      <c r="W81" s="6"/>
      <c r="X81" s="103" t="str">
        <f>$AC22</f>
        <v/>
      </c>
      <c r="Y81" s="7"/>
      <c r="Z81" s="22"/>
      <c r="AA81" s="107" t="s">
        <v>24</v>
      </c>
      <c r="AB81" s="6"/>
      <c r="AC81" s="103" t="str">
        <f>$AC23</f>
        <v/>
      </c>
      <c r="AD81" s="7"/>
      <c r="AE81" s="23"/>
      <c r="AF81" s="24"/>
      <c r="AG81" s="24"/>
      <c r="AH81" s="24"/>
      <c r="AI81" s="24"/>
      <c r="AJ81" s="22"/>
      <c r="AK81" s="22"/>
    </row>
    <row r="82">
      <c r="A82" s="22"/>
      <c r="B82" s="22"/>
      <c r="C82" s="22"/>
      <c r="D82" s="22"/>
      <c r="E82" s="22"/>
      <c r="F82" s="23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3"/>
      <c r="AF82" s="24"/>
      <c r="AG82" s="24"/>
      <c r="AH82" s="24"/>
      <c r="AI82" s="24"/>
      <c r="AJ82" s="22"/>
      <c r="AK82" s="22"/>
    </row>
    <row r="83">
      <c r="A83" s="22"/>
      <c r="B83" s="22"/>
      <c r="C83" s="22"/>
      <c r="D83" s="22"/>
      <c r="E83" s="22"/>
      <c r="F83" s="23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3"/>
      <c r="AF83" s="24"/>
      <c r="AG83" s="24"/>
      <c r="AH83" s="24"/>
      <c r="AI83" s="24"/>
      <c r="AJ83" s="22"/>
      <c r="AK83" s="22"/>
    </row>
    <row r="84">
      <c r="A84" s="22"/>
      <c r="B84" s="22"/>
      <c r="C84" s="22"/>
      <c r="D84" s="22"/>
      <c r="E84" s="22"/>
      <c r="F84" s="23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3"/>
      <c r="AF84" s="24"/>
      <c r="AG84" s="24"/>
      <c r="AH84" s="24"/>
      <c r="AI84" s="24"/>
      <c r="AJ84" s="22"/>
      <c r="AK84" s="22"/>
    </row>
    <row r="85">
      <c r="A85" s="22"/>
      <c r="B85" s="22"/>
      <c r="C85" s="22"/>
      <c r="D85" s="22"/>
      <c r="E85" s="22"/>
      <c r="F85" s="23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3"/>
      <c r="AF85" s="24"/>
      <c r="AG85" s="24"/>
      <c r="AH85" s="24"/>
      <c r="AI85" s="24"/>
      <c r="AJ85" s="22"/>
      <c r="AK85" s="22"/>
    </row>
    <row r="86">
      <c r="A86" s="22"/>
      <c r="B86" s="22"/>
      <c r="C86" s="22"/>
      <c r="D86" s="22"/>
      <c r="E86" s="22"/>
      <c r="F86" s="23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3"/>
      <c r="AF86" s="24"/>
      <c r="AG86" s="24"/>
      <c r="AH86" s="24"/>
      <c r="AI86" s="24"/>
      <c r="AJ86" s="22"/>
      <c r="AK86" s="22"/>
    </row>
    <row r="87">
      <c r="A87" s="22"/>
      <c r="B87" s="22"/>
      <c r="C87" s="22"/>
      <c r="D87" s="22"/>
      <c r="E87" s="22"/>
      <c r="F87" s="23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3"/>
      <c r="AF87" s="24"/>
      <c r="AG87" s="24"/>
      <c r="AH87" s="24"/>
      <c r="AI87" s="24"/>
      <c r="AJ87" s="22"/>
      <c r="AK87" s="22"/>
    </row>
    <row r="88">
      <c r="A88" s="22"/>
      <c r="B88" s="22"/>
      <c r="C88" s="22"/>
      <c r="D88" s="22"/>
      <c r="E88" s="22"/>
      <c r="F88" s="23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3"/>
      <c r="AF88" s="24"/>
      <c r="AG88" s="24"/>
      <c r="AH88" s="24"/>
      <c r="AI88" s="24"/>
      <c r="AJ88" s="22"/>
      <c r="AK88" s="22"/>
    </row>
    <row r="89">
      <c r="A89" s="22"/>
      <c r="B89" s="22"/>
      <c r="C89" s="22"/>
      <c r="D89" s="22"/>
      <c r="E89" s="22"/>
      <c r="F89" s="23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3"/>
      <c r="AF89" s="24"/>
      <c r="AG89" s="24"/>
      <c r="AH89" s="24"/>
      <c r="AI89" s="24"/>
      <c r="AJ89" s="22"/>
      <c r="AK89" s="22"/>
    </row>
    <row r="90">
      <c r="A90" s="22"/>
      <c r="B90" s="22"/>
      <c r="C90" s="22"/>
      <c r="D90" s="22"/>
      <c r="E90" s="22"/>
      <c r="F90" s="2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3"/>
      <c r="AF90" s="24"/>
      <c r="AG90" s="24"/>
      <c r="AH90" s="24"/>
      <c r="AI90" s="24"/>
      <c r="AJ90" s="22"/>
      <c r="AK90" s="22"/>
    </row>
    <row r="91">
      <c r="A91" s="22"/>
      <c r="B91" s="22"/>
      <c r="C91" s="22"/>
      <c r="D91" s="22"/>
      <c r="E91" s="22"/>
      <c r="F91" s="2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3"/>
      <c r="AF91" s="24"/>
      <c r="AG91" s="24"/>
      <c r="AH91" s="24"/>
      <c r="AI91" s="24"/>
      <c r="AJ91" s="22"/>
      <c r="AK91" s="22"/>
    </row>
    <row r="92">
      <c r="A92" s="22"/>
      <c r="B92" s="22"/>
      <c r="C92" s="22"/>
      <c r="D92" s="22"/>
      <c r="E92" s="22"/>
      <c r="F92" s="2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3"/>
      <c r="AF92" s="24"/>
      <c r="AG92" s="24"/>
      <c r="AH92" s="24"/>
      <c r="AI92" s="24"/>
      <c r="AJ92" s="22"/>
      <c r="AK92" s="22"/>
    </row>
    <row r="93">
      <c r="A93" s="22"/>
      <c r="B93" s="22"/>
      <c r="C93" s="22"/>
      <c r="D93" s="22"/>
      <c r="E93" s="22"/>
      <c r="F93" s="2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3"/>
      <c r="AF93" s="24"/>
      <c r="AG93" s="24"/>
      <c r="AH93" s="24"/>
      <c r="AI93" s="24"/>
      <c r="AJ93" s="22"/>
      <c r="AK93" s="22"/>
    </row>
    <row r="94">
      <c r="A94" s="22"/>
      <c r="B94" s="22"/>
      <c r="C94" s="22"/>
      <c r="D94" s="22"/>
      <c r="E94" s="22"/>
      <c r="F94" s="23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3"/>
      <c r="AF94" s="24"/>
      <c r="AG94" s="24"/>
      <c r="AH94" s="24"/>
      <c r="AI94" s="24"/>
      <c r="AJ94" s="22"/>
      <c r="AK94" s="22"/>
    </row>
    <row r="95">
      <c r="A95" s="22"/>
      <c r="B95" s="22"/>
      <c r="C95" s="22"/>
      <c r="D95" s="22"/>
      <c r="E95" s="22"/>
      <c r="F95" s="23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3"/>
      <c r="AF95" s="24"/>
      <c r="AG95" s="24"/>
      <c r="AH95" s="24"/>
      <c r="AI95" s="24"/>
      <c r="AJ95" s="22"/>
      <c r="AK95" s="22"/>
    </row>
    <row r="96">
      <c r="A96" s="22"/>
      <c r="B96" s="22"/>
      <c r="C96" s="22"/>
      <c r="D96" s="22"/>
      <c r="E96" s="22"/>
      <c r="F96" s="23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3"/>
      <c r="AF96" s="24"/>
      <c r="AG96" s="24"/>
      <c r="AH96" s="24"/>
      <c r="AI96" s="24"/>
      <c r="AJ96" s="22"/>
      <c r="AK96" s="22"/>
    </row>
    <row r="97">
      <c r="A97" s="22"/>
      <c r="B97" s="22"/>
      <c r="C97" s="22"/>
      <c r="D97" s="22"/>
      <c r="E97" s="22"/>
      <c r="F97" s="23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3"/>
      <c r="AF97" s="24"/>
      <c r="AG97" s="24"/>
      <c r="AH97" s="24"/>
      <c r="AI97" s="24"/>
      <c r="AJ97" s="22"/>
      <c r="AK97" s="22"/>
    </row>
    <row r="98">
      <c r="A98" s="22"/>
      <c r="B98" s="22"/>
      <c r="C98" s="22"/>
      <c r="D98" s="22"/>
      <c r="E98" s="22"/>
      <c r="F98" s="23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3"/>
      <c r="AF98" s="24"/>
      <c r="AG98" s="24"/>
      <c r="AH98" s="24"/>
      <c r="AI98" s="24"/>
      <c r="AJ98" s="22"/>
      <c r="AK98" s="22"/>
    </row>
    <row r="99">
      <c r="A99" s="22"/>
      <c r="B99" s="22"/>
      <c r="C99" s="22"/>
      <c r="D99" s="22"/>
      <c r="E99" s="22"/>
      <c r="F99" s="23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3"/>
      <c r="AF99" s="24"/>
      <c r="AG99" s="24"/>
      <c r="AH99" s="24"/>
      <c r="AI99" s="24"/>
      <c r="AJ99" s="22"/>
      <c r="AK99" s="22"/>
    </row>
    <row r="100">
      <c r="A100" s="22"/>
      <c r="B100" s="22"/>
      <c r="C100" s="22"/>
      <c r="D100" s="22"/>
      <c r="E100" s="22"/>
      <c r="F100" s="23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3"/>
      <c r="AF100" s="24"/>
      <c r="AG100" s="24"/>
      <c r="AH100" s="24"/>
      <c r="AI100" s="24"/>
      <c r="AJ100" s="22"/>
      <c r="AK100" s="22"/>
    </row>
    <row r="101">
      <c r="A101" s="22"/>
      <c r="B101" s="22"/>
      <c r="C101" s="22"/>
      <c r="D101" s="22"/>
      <c r="E101" s="22"/>
      <c r="F101" s="23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3"/>
      <c r="AF101" s="24"/>
      <c r="AG101" s="24"/>
      <c r="AH101" s="24"/>
      <c r="AI101" s="24"/>
      <c r="AJ101" s="22"/>
      <c r="AK101" s="22"/>
    </row>
    <row r="102">
      <c r="A102" s="22"/>
      <c r="B102" s="22"/>
      <c r="C102" s="22"/>
      <c r="D102" s="22"/>
      <c r="E102" s="22"/>
      <c r="F102" s="23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3"/>
      <c r="AF102" s="24"/>
      <c r="AG102" s="24"/>
      <c r="AH102" s="24"/>
      <c r="AI102" s="24"/>
      <c r="AJ102" s="22"/>
      <c r="AK102" s="22"/>
    </row>
    <row r="103">
      <c r="A103" s="22"/>
      <c r="B103" s="22"/>
      <c r="C103" s="22"/>
      <c r="D103" s="22"/>
      <c r="E103" s="22"/>
      <c r="F103" s="23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3"/>
      <c r="AF103" s="24"/>
      <c r="AG103" s="24"/>
      <c r="AH103" s="24"/>
      <c r="AI103" s="24"/>
      <c r="AJ103" s="22"/>
      <c r="AK103" s="22"/>
    </row>
    <row r="104">
      <c r="A104" s="22"/>
      <c r="B104" s="22"/>
      <c r="C104" s="22"/>
      <c r="D104" s="22"/>
      <c r="E104" s="22"/>
      <c r="F104" s="23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3"/>
      <c r="AF104" s="24"/>
      <c r="AG104" s="24"/>
      <c r="AH104" s="24"/>
      <c r="AI104" s="24"/>
      <c r="AJ104" s="22"/>
      <c r="AK104" s="22"/>
    </row>
    <row r="105">
      <c r="A105" s="22"/>
      <c r="B105" s="22"/>
      <c r="C105" s="22"/>
      <c r="D105" s="22"/>
      <c r="E105" s="22"/>
      <c r="F105" s="23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3"/>
      <c r="AF105" s="24"/>
      <c r="AG105" s="24"/>
      <c r="AH105" s="24"/>
      <c r="AI105" s="24"/>
      <c r="AJ105" s="22"/>
      <c r="AK105" s="22"/>
    </row>
    <row r="106">
      <c r="A106" s="22"/>
      <c r="B106" s="22"/>
      <c r="C106" s="22"/>
      <c r="D106" s="22"/>
      <c r="E106" s="22"/>
      <c r="F106" s="23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3"/>
      <c r="AF106" s="24"/>
      <c r="AG106" s="24"/>
      <c r="AH106" s="24"/>
      <c r="AI106" s="24"/>
      <c r="AJ106" s="22"/>
      <c r="AK106" s="22"/>
    </row>
    <row r="107">
      <c r="A107" s="22"/>
      <c r="B107" s="22"/>
      <c r="C107" s="22"/>
      <c r="D107" s="22"/>
      <c r="E107" s="22"/>
      <c r="F107" s="23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3"/>
      <c r="AF107" s="24"/>
      <c r="AG107" s="24"/>
      <c r="AH107" s="24"/>
      <c r="AI107" s="24"/>
      <c r="AJ107" s="22"/>
      <c r="AK107" s="22"/>
    </row>
    <row r="108">
      <c r="A108" s="22"/>
      <c r="B108" s="22"/>
      <c r="C108" s="22"/>
      <c r="D108" s="22"/>
      <c r="E108" s="22"/>
      <c r="F108" s="23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3"/>
      <c r="AF108" s="24"/>
      <c r="AG108" s="24"/>
      <c r="AH108" s="24"/>
      <c r="AI108" s="24"/>
      <c r="AJ108" s="22"/>
      <c r="AK108" s="22"/>
    </row>
    <row r="109">
      <c r="A109" s="22"/>
      <c r="B109" s="22"/>
      <c r="C109" s="22"/>
      <c r="D109" s="22"/>
      <c r="E109" s="22"/>
      <c r="F109" s="23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3"/>
      <c r="AF109" s="24"/>
      <c r="AG109" s="24"/>
      <c r="AH109" s="24"/>
      <c r="AI109" s="24"/>
      <c r="AJ109" s="22"/>
      <c r="AK109" s="22"/>
    </row>
    <row r="110">
      <c r="A110" s="22"/>
      <c r="B110" s="22"/>
      <c r="C110" s="22"/>
      <c r="D110" s="22"/>
      <c r="E110" s="22"/>
      <c r="F110" s="23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3"/>
      <c r="AF110" s="24"/>
      <c r="AG110" s="24"/>
      <c r="AH110" s="24"/>
      <c r="AI110" s="24"/>
      <c r="AJ110" s="22"/>
      <c r="AK110" s="22"/>
    </row>
    <row r="111">
      <c r="A111" s="22"/>
      <c r="B111" s="22"/>
      <c r="C111" s="22"/>
      <c r="D111" s="22"/>
      <c r="E111" s="22"/>
      <c r="F111" s="23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3"/>
      <c r="AF111" s="24"/>
      <c r="AG111" s="24"/>
      <c r="AH111" s="24"/>
      <c r="AI111" s="24"/>
      <c r="AJ111" s="22"/>
      <c r="AK111" s="22"/>
    </row>
    <row r="112">
      <c r="A112" s="22"/>
      <c r="B112" s="22"/>
      <c r="C112" s="22"/>
      <c r="D112" s="22"/>
      <c r="E112" s="22"/>
      <c r="F112" s="23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3"/>
      <c r="AF112" s="24"/>
      <c r="AG112" s="24"/>
      <c r="AH112" s="24"/>
      <c r="AI112" s="24"/>
      <c r="AJ112" s="22"/>
      <c r="AK112" s="22"/>
    </row>
    <row r="113">
      <c r="A113" s="22"/>
      <c r="B113" s="22"/>
      <c r="C113" s="22"/>
      <c r="D113" s="22"/>
      <c r="E113" s="22"/>
      <c r="F113" s="23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3"/>
      <c r="AF113" s="24"/>
      <c r="AG113" s="24"/>
      <c r="AH113" s="24"/>
      <c r="AI113" s="24"/>
      <c r="AJ113" s="22"/>
      <c r="AK113" s="22"/>
    </row>
    <row r="114">
      <c r="A114" s="22"/>
      <c r="B114" s="22"/>
      <c r="C114" s="22"/>
      <c r="D114" s="22"/>
      <c r="E114" s="22"/>
      <c r="F114" s="23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3"/>
      <c r="AF114" s="24"/>
      <c r="AG114" s="24"/>
      <c r="AH114" s="24"/>
      <c r="AI114" s="24"/>
      <c r="AJ114" s="22"/>
      <c r="AK114" s="22"/>
    </row>
    <row r="115">
      <c r="A115" s="22"/>
      <c r="B115" s="22"/>
      <c r="C115" s="22"/>
      <c r="D115" s="22"/>
      <c r="E115" s="22"/>
      <c r="F115" s="23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3"/>
      <c r="AF115" s="24"/>
      <c r="AG115" s="24"/>
      <c r="AH115" s="24"/>
      <c r="AI115" s="24"/>
      <c r="AJ115" s="22"/>
      <c r="AK115" s="22"/>
    </row>
    <row r="116">
      <c r="A116" s="22"/>
      <c r="B116" s="22"/>
      <c r="C116" s="22"/>
      <c r="D116" s="22"/>
      <c r="E116" s="22"/>
      <c r="F116" s="23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3"/>
      <c r="AF116" s="24"/>
      <c r="AG116" s="24"/>
      <c r="AH116" s="24"/>
      <c r="AI116" s="24"/>
      <c r="AJ116" s="22"/>
      <c r="AK116" s="22"/>
    </row>
    <row r="117">
      <c r="A117" s="22"/>
      <c r="B117" s="22"/>
      <c r="C117" s="22"/>
      <c r="D117" s="22"/>
      <c r="E117" s="22"/>
      <c r="F117" s="23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3"/>
      <c r="AF117" s="24"/>
      <c r="AG117" s="24"/>
      <c r="AH117" s="24"/>
      <c r="AI117" s="24"/>
      <c r="AJ117" s="22"/>
      <c r="AK117" s="22"/>
    </row>
    <row r="118">
      <c r="A118" s="22"/>
      <c r="B118" s="22"/>
      <c r="C118" s="22"/>
      <c r="D118" s="22"/>
      <c r="E118" s="22"/>
      <c r="F118" s="23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3"/>
      <c r="AF118" s="24"/>
      <c r="AG118" s="24"/>
      <c r="AH118" s="24"/>
      <c r="AI118" s="24"/>
      <c r="AJ118" s="22"/>
      <c r="AK118" s="22"/>
    </row>
    <row r="119">
      <c r="A119" s="22"/>
      <c r="B119" s="22"/>
      <c r="C119" s="22"/>
      <c r="D119" s="22"/>
      <c r="E119" s="22"/>
      <c r="F119" s="23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3"/>
      <c r="AF119" s="24"/>
      <c r="AG119" s="24"/>
      <c r="AH119" s="24"/>
      <c r="AI119" s="24"/>
      <c r="AJ119" s="22"/>
      <c r="AK119" s="22"/>
    </row>
    <row r="120">
      <c r="A120" s="22"/>
      <c r="B120" s="22"/>
      <c r="C120" s="22"/>
      <c r="D120" s="22"/>
      <c r="E120" s="22"/>
      <c r="F120" s="23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3"/>
      <c r="AF120" s="24"/>
      <c r="AG120" s="24"/>
      <c r="AH120" s="24"/>
      <c r="AI120" s="24"/>
      <c r="AJ120" s="22"/>
      <c r="AK120" s="22"/>
    </row>
    <row r="121">
      <c r="A121" s="22"/>
      <c r="B121" s="22"/>
      <c r="C121" s="22"/>
      <c r="D121" s="22"/>
      <c r="E121" s="22"/>
      <c r="F121" s="23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3"/>
      <c r="AF121" s="24"/>
      <c r="AG121" s="24"/>
      <c r="AH121" s="24"/>
      <c r="AI121" s="24"/>
      <c r="AJ121" s="22"/>
      <c r="AK121" s="22"/>
    </row>
    <row r="122">
      <c r="A122" s="22"/>
      <c r="B122" s="22"/>
      <c r="C122" s="22"/>
      <c r="D122" s="22"/>
      <c r="E122" s="22"/>
      <c r="F122" s="23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3"/>
      <c r="AF122" s="24"/>
      <c r="AG122" s="24"/>
      <c r="AH122" s="24"/>
      <c r="AI122" s="24"/>
      <c r="AJ122" s="22"/>
      <c r="AK122" s="22"/>
    </row>
    <row r="123">
      <c r="A123" s="22"/>
      <c r="B123" s="22"/>
      <c r="C123" s="22"/>
      <c r="D123" s="22"/>
      <c r="E123" s="22"/>
      <c r="F123" s="2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3"/>
      <c r="AF123" s="24"/>
      <c r="AG123" s="24"/>
      <c r="AH123" s="24"/>
      <c r="AI123" s="24"/>
      <c r="AJ123" s="22"/>
      <c r="AK123" s="22"/>
    </row>
    <row r="124">
      <c r="A124" s="22"/>
      <c r="B124" s="22"/>
      <c r="C124" s="22"/>
      <c r="D124" s="22"/>
      <c r="E124" s="22"/>
      <c r="F124" s="23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3"/>
      <c r="AF124" s="24"/>
      <c r="AG124" s="24"/>
      <c r="AH124" s="24"/>
      <c r="AI124" s="24"/>
      <c r="AJ124" s="22"/>
      <c r="AK124" s="22"/>
    </row>
    <row r="125">
      <c r="A125" s="22"/>
      <c r="B125" s="22"/>
      <c r="C125" s="22"/>
      <c r="D125" s="22"/>
      <c r="E125" s="22"/>
      <c r="F125" s="23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3"/>
      <c r="AF125" s="24"/>
      <c r="AG125" s="24"/>
      <c r="AH125" s="24"/>
      <c r="AI125" s="24"/>
      <c r="AJ125" s="22"/>
      <c r="AK125" s="22"/>
    </row>
    <row r="126">
      <c r="A126" s="22"/>
      <c r="B126" s="22"/>
      <c r="C126" s="22"/>
      <c r="D126" s="22"/>
      <c r="E126" s="22"/>
      <c r="F126" s="23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3"/>
      <c r="AF126" s="24"/>
      <c r="AG126" s="24"/>
      <c r="AH126" s="24"/>
      <c r="AI126" s="24"/>
      <c r="AJ126" s="22"/>
      <c r="AK126" s="22"/>
    </row>
    <row r="127">
      <c r="A127" s="22"/>
      <c r="B127" s="22"/>
      <c r="C127" s="22"/>
      <c r="D127" s="22"/>
      <c r="E127" s="22"/>
      <c r="F127" s="23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3"/>
      <c r="AF127" s="24"/>
      <c r="AG127" s="24"/>
      <c r="AH127" s="24"/>
      <c r="AI127" s="24"/>
      <c r="AJ127" s="22"/>
      <c r="AK127" s="22"/>
    </row>
    <row r="128">
      <c r="A128" s="22"/>
      <c r="B128" s="22"/>
      <c r="C128" s="22"/>
      <c r="D128" s="22"/>
      <c r="E128" s="22"/>
      <c r="F128" s="23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3"/>
      <c r="AF128" s="24"/>
      <c r="AG128" s="24"/>
      <c r="AH128" s="24"/>
      <c r="AI128" s="24"/>
      <c r="AJ128" s="22"/>
      <c r="AK128" s="22"/>
    </row>
    <row r="129">
      <c r="A129" s="22"/>
      <c r="B129" s="22"/>
      <c r="C129" s="22"/>
      <c r="D129" s="22"/>
      <c r="E129" s="22"/>
      <c r="F129" s="23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3"/>
      <c r="AF129" s="24"/>
      <c r="AG129" s="24"/>
      <c r="AH129" s="24"/>
      <c r="AI129" s="24"/>
      <c r="AJ129" s="22"/>
      <c r="AK129" s="22"/>
    </row>
    <row r="130">
      <c r="A130" s="22"/>
      <c r="B130" s="22"/>
      <c r="C130" s="22"/>
      <c r="D130" s="22"/>
      <c r="E130" s="22"/>
      <c r="F130" s="23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3"/>
      <c r="AF130" s="24"/>
      <c r="AG130" s="24"/>
      <c r="AH130" s="24"/>
      <c r="AI130" s="24"/>
      <c r="AJ130" s="22"/>
      <c r="AK130" s="22"/>
    </row>
    <row r="131">
      <c r="A131" s="22"/>
      <c r="B131" s="22"/>
      <c r="C131" s="22"/>
      <c r="D131" s="22"/>
      <c r="E131" s="22"/>
      <c r="F131" s="23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3"/>
      <c r="AF131" s="24"/>
      <c r="AG131" s="24"/>
      <c r="AH131" s="24"/>
      <c r="AI131" s="24"/>
      <c r="AJ131" s="22"/>
      <c r="AK131" s="22"/>
    </row>
    <row r="132">
      <c r="A132" s="22"/>
      <c r="B132" s="22"/>
      <c r="C132" s="22"/>
      <c r="D132" s="22"/>
      <c r="E132" s="22"/>
      <c r="F132" s="23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3"/>
      <c r="AF132" s="24"/>
      <c r="AG132" s="24"/>
      <c r="AH132" s="24"/>
      <c r="AI132" s="24"/>
      <c r="AJ132" s="22"/>
      <c r="AK132" s="22"/>
    </row>
    <row r="133">
      <c r="A133" s="22"/>
      <c r="B133" s="22"/>
      <c r="C133" s="22"/>
      <c r="D133" s="22"/>
      <c r="E133" s="22"/>
      <c r="F133" s="23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3"/>
      <c r="AF133" s="24"/>
      <c r="AG133" s="24"/>
      <c r="AH133" s="24"/>
      <c r="AI133" s="24"/>
      <c r="AJ133" s="22"/>
      <c r="AK133" s="22"/>
    </row>
    <row r="134">
      <c r="A134" s="22"/>
      <c r="B134" s="22"/>
      <c r="C134" s="22"/>
      <c r="D134" s="22"/>
      <c r="E134" s="22"/>
      <c r="F134" s="23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3"/>
      <c r="AF134" s="24"/>
      <c r="AG134" s="24"/>
      <c r="AH134" s="24"/>
      <c r="AI134" s="24"/>
      <c r="AJ134" s="22"/>
      <c r="AK134" s="22"/>
    </row>
    <row r="135">
      <c r="A135" s="22"/>
      <c r="B135" s="22"/>
      <c r="C135" s="22"/>
      <c r="D135" s="22"/>
      <c r="E135" s="22"/>
      <c r="F135" s="23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3"/>
      <c r="AF135" s="24"/>
      <c r="AG135" s="24"/>
      <c r="AH135" s="24"/>
      <c r="AI135" s="24"/>
      <c r="AJ135" s="22"/>
      <c r="AK135" s="22"/>
    </row>
    <row r="136">
      <c r="A136" s="22"/>
      <c r="B136" s="22"/>
      <c r="C136" s="22"/>
      <c r="D136" s="22"/>
      <c r="E136" s="22"/>
      <c r="F136" s="23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3"/>
      <c r="AF136" s="24"/>
      <c r="AG136" s="24"/>
      <c r="AH136" s="24"/>
      <c r="AI136" s="24"/>
      <c r="AJ136" s="22"/>
      <c r="AK136" s="22"/>
    </row>
    <row r="137">
      <c r="A137" s="22"/>
      <c r="B137" s="22"/>
      <c r="C137" s="22"/>
      <c r="D137" s="22"/>
      <c r="E137" s="22"/>
      <c r="F137" s="23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3"/>
      <c r="AF137" s="24"/>
      <c r="AG137" s="24"/>
      <c r="AH137" s="24"/>
      <c r="AI137" s="24"/>
      <c r="AJ137" s="22"/>
      <c r="AK137" s="22"/>
    </row>
    <row r="138">
      <c r="A138" s="22"/>
      <c r="B138" s="22"/>
      <c r="C138" s="22"/>
      <c r="D138" s="22"/>
      <c r="E138" s="22"/>
      <c r="F138" s="23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3"/>
      <c r="AF138" s="24"/>
      <c r="AG138" s="24"/>
      <c r="AH138" s="24"/>
      <c r="AI138" s="24"/>
      <c r="AJ138" s="22"/>
      <c r="AK138" s="22"/>
    </row>
    <row r="139">
      <c r="A139" s="22"/>
      <c r="B139" s="22"/>
      <c r="C139" s="22"/>
      <c r="D139" s="22"/>
      <c r="E139" s="22"/>
      <c r="F139" s="23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3"/>
      <c r="AF139" s="24"/>
      <c r="AG139" s="24"/>
      <c r="AH139" s="24"/>
      <c r="AI139" s="24"/>
      <c r="AJ139" s="22"/>
      <c r="AK139" s="22"/>
    </row>
    <row r="140">
      <c r="A140" s="22"/>
      <c r="B140" s="22"/>
      <c r="C140" s="22"/>
      <c r="D140" s="22"/>
      <c r="E140" s="22"/>
      <c r="F140" s="23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3"/>
      <c r="AF140" s="24"/>
      <c r="AG140" s="24"/>
      <c r="AH140" s="24"/>
      <c r="AI140" s="24"/>
      <c r="AJ140" s="22"/>
      <c r="AK140" s="22"/>
    </row>
    <row r="141">
      <c r="A141" s="22"/>
      <c r="B141" s="22"/>
      <c r="C141" s="22"/>
      <c r="D141" s="22"/>
      <c r="E141" s="22"/>
      <c r="F141" s="23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3"/>
      <c r="AF141" s="24"/>
      <c r="AG141" s="24"/>
      <c r="AH141" s="24"/>
      <c r="AI141" s="24"/>
      <c r="AJ141" s="22"/>
      <c r="AK141" s="22"/>
    </row>
    <row r="142">
      <c r="A142" s="22"/>
      <c r="B142" s="22"/>
      <c r="C142" s="22"/>
      <c r="D142" s="22"/>
      <c r="E142" s="22"/>
      <c r="F142" s="23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3"/>
      <c r="AF142" s="24"/>
      <c r="AG142" s="24"/>
      <c r="AH142" s="24"/>
      <c r="AI142" s="24"/>
      <c r="AJ142" s="22"/>
      <c r="AK142" s="22"/>
    </row>
    <row r="143">
      <c r="A143" s="22"/>
      <c r="B143" s="22"/>
      <c r="C143" s="22"/>
      <c r="D143" s="22"/>
      <c r="E143" s="22"/>
      <c r="F143" s="23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3"/>
      <c r="AF143" s="24"/>
      <c r="AG143" s="24"/>
      <c r="AH143" s="24"/>
      <c r="AI143" s="24"/>
      <c r="AJ143" s="22"/>
      <c r="AK143" s="22"/>
    </row>
    <row r="144">
      <c r="A144" s="22"/>
      <c r="B144" s="22"/>
      <c r="C144" s="22"/>
      <c r="D144" s="22"/>
      <c r="E144" s="22"/>
      <c r="F144" s="23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3"/>
      <c r="AF144" s="24"/>
      <c r="AG144" s="24"/>
      <c r="AH144" s="24"/>
      <c r="AI144" s="24"/>
      <c r="AJ144" s="22"/>
      <c r="AK144" s="22"/>
    </row>
    <row r="145">
      <c r="A145" s="22"/>
      <c r="B145" s="22"/>
      <c r="C145" s="22"/>
      <c r="D145" s="22"/>
      <c r="E145" s="22"/>
      <c r="F145" s="23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3"/>
      <c r="AF145" s="24"/>
      <c r="AG145" s="24"/>
      <c r="AH145" s="24"/>
      <c r="AI145" s="24"/>
      <c r="AJ145" s="22"/>
      <c r="AK145" s="22"/>
    </row>
    <row r="146">
      <c r="A146" s="22"/>
      <c r="B146" s="22"/>
      <c r="C146" s="22"/>
      <c r="D146" s="22"/>
      <c r="E146" s="22"/>
      <c r="F146" s="23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3"/>
      <c r="AF146" s="24"/>
      <c r="AG146" s="24"/>
      <c r="AH146" s="24"/>
      <c r="AI146" s="24"/>
      <c r="AJ146" s="22"/>
      <c r="AK146" s="22"/>
    </row>
    <row r="147">
      <c r="A147" s="22"/>
      <c r="B147" s="22"/>
      <c r="C147" s="22"/>
      <c r="D147" s="22"/>
      <c r="E147" s="22"/>
      <c r="F147" s="23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3"/>
      <c r="AF147" s="24"/>
      <c r="AG147" s="24"/>
      <c r="AH147" s="24"/>
      <c r="AI147" s="24"/>
      <c r="AJ147" s="22"/>
      <c r="AK147" s="22"/>
    </row>
    <row r="148">
      <c r="A148" s="22"/>
      <c r="B148" s="22"/>
      <c r="C148" s="22"/>
      <c r="D148" s="22"/>
      <c r="E148" s="22"/>
      <c r="F148" s="23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3"/>
      <c r="AF148" s="24"/>
      <c r="AG148" s="24"/>
      <c r="AH148" s="24"/>
      <c r="AI148" s="24"/>
      <c r="AJ148" s="22"/>
      <c r="AK148" s="22"/>
    </row>
    <row r="149">
      <c r="A149" s="22"/>
      <c r="B149" s="22"/>
      <c r="C149" s="22"/>
      <c r="D149" s="22"/>
      <c r="E149" s="22"/>
      <c r="F149" s="23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3"/>
      <c r="AF149" s="24"/>
      <c r="AG149" s="24"/>
      <c r="AH149" s="24"/>
      <c r="AI149" s="24"/>
      <c r="AJ149" s="22"/>
      <c r="AK149" s="22"/>
    </row>
    <row r="150">
      <c r="A150" s="22"/>
      <c r="B150" s="22"/>
      <c r="C150" s="22"/>
      <c r="D150" s="22"/>
      <c r="E150" s="22"/>
      <c r="F150" s="23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3"/>
      <c r="AF150" s="24"/>
      <c r="AG150" s="24"/>
      <c r="AH150" s="24"/>
      <c r="AI150" s="24"/>
      <c r="AJ150" s="22"/>
      <c r="AK150" s="22"/>
    </row>
    <row r="151">
      <c r="A151" s="22"/>
      <c r="B151" s="22"/>
      <c r="C151" s="22"/>
      <c r="D151" s="22"/>
      <c r="E151" s="22"/>
      <c r="F151" s="23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3"/>
      <c r="AF151" s="24"/>
      <c r="AG151" s="24"/>
      <c r="AH151" s="24"/>
      <c r="AI151" s="24"/>
      <c r="AJ151" s="22"/>
      <c r="AK151" s="22"/>
    </row>
    <row r="152">
      <c r="A152" s="22"/>
      <c r="B152" s="22"/>
      <c r="C152" s="22"/>
      <c r="D152" s="22"/>
      <c r="E152" s="22"/>
      <c r="F152" s="23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3"/>
      <c r="AF152" s="24"/>
      <c r="AG152" s="24"/>
      <c r="AH152" s="24"/>
      <c r="AI152" s="24"/>
      <c r="AJ152" s="22"/>
      <c r="AK152" s="22"/>
    </row>
    <row r="153">
      <c r="A153" s="22"/>
      <c r="B153" s="22"/>
      <c r="C153" s="22"/>
      <c r="D153" s="22"/>
      <c r="E153" s="22"/>
      <c r="F153" s="23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3"/>
      <c r="AF153" s="24"/>
      <c r="AG153" s="24"/>
      <c r="AH153" s="24"/>
      <c r="AI153" s="24"/>
      <c r="AJ153" s="22"/>
      <c r="AK153" s="22"/>
    </row>
    <row r="154">
      <c r="A154" s="22"/>
      <c r="B154" s="22"/>
      <c r="C154" s="22"/>
      <c r="D154" s="22"/>
      <c r="E154" s="22"/>
      <c r="F154" s="23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3"/>
      <c r="AF154" s="24"/>
      <c r="AG154" s="24"/>
      <c r="AH154" s="24"/>
      <c r="AI154" s="24"/>
      <c r="AJ154" s="22"/>
      <c r="AK154" s="22"/>
    </row>
    <row r="155">
      <c r="A155" s="22"/>
      <c r="B155" s="22"/>
      <c r="C155" s="22"/>
      <c r="D155" s="22"/>
      <c r="E155" s="22"/>
      <c r="F155" s="23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3"/>
      <c r="AF155" s="24"/>
      <c r="AG155" s="24"/>
      <c r="AH155" s="24"/>
      <c r="AI155" s="24"/>
      <c r="AJ155" s="22"/>
      <c r="AK155" s="22"/>
    </row>
    <row r="156">
      <c r="A156" s="22"/>
      <c r="B156" s="22"/>
      <c r="C156" s="22"/>
      <c r="D156" s="22"/>
      <c r="E156" s="22"/>
      <c r="F156" s="23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3"/>
      <c r="AF156" s="24"/>
      <c r="AG156" s="24"/>
      <c r="AH156" s="24"/>
      <c r="AI156" s="24"/>
      <c r="AJ156" s="22"/>
      <c r="AK156" s="22"/>
    </row>
    <row r="157">
      <c r="A157" s="22"/>
      <c r="B157" s="22"/>
      <c r="C157" s="22"/>
      <c r="D157" s="22"/>
      <c r="E157" s="22"/>
      <c r="F157" s="23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3"/>
      <c r="AF157" s="24"/>
      <c r="AG157" s="24"/>
      <c r="AH157" s="24"/>
      <c r="AI157" s="24"/>
      <c r="AJ157" s="22"/>
      <c r="AK157" s="22"/>
    </row>
    <row r="158">
      <c r="A158" s="22"/>
      <c r="B158" s="22"/>
      <c r="C158" s="22"/>
      <c r="D158" s="22"/>
      <c r="E158" s="22"/>
      <c r="F158" s="23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3"/>
      <c r="AF158" s="24"/>
      <c r="AG158" s="24"/>
      <c r="AH158" s="24"/>
      <c r="AI158" s="24"/>
      <c r="AJ158" s="22"/>
      <c r="AK158" s="22"/>
    </row>
    <row r="159">
      <c r="A159" s="22"/>
      <c r="B159" s="22"/>
      <c r="C159" s="22"/>
      <c r="D159" s="22"/>
      <c r="E159" s="22"/>
      <c r="F159" s="23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3"/>
      <c r="AF159" s="24"/>
      <c r="AG159" s="24"/>
      <c r="AH159" s="24"/>
      <c r="AI159" s="24"/>
      <c r="AJ159" s="22"/>
      <c r="AK159" s="22"/>
    </row>
    <row r="160">
      <c r="A160" s="22"/>
      <c r="B160" s="22"/>
      <c r="C160" s="22"/>
      <c r="D160" s="22"/>
      <c r="E160" s="22"/>
      <c r="F160" s="23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3"/>
      <c r="AF160" s="24"/>
      <c r="AG160" s="24"/>
      <c r="AH160" s="24"/>
      <c r="AI160" s="24"/>
      <c r="AJ160" s="22"/>
      <c r="AK160" s="22"/>
    </row>
    <row r="161">
      <c r="A161" s="22"/>
      <c r="B161" s="22"/>
      <c r="C161" s="22"/>
      <c r="D161" s="22"/>
      <c r="E161" s="22"/>
      <c r="F161" s="23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3"/>
      <c r="AF161" s="24"/>
      <c r="AG161" s="24"/>
      <c r="AH161" s="24"/>
      <c r="AI161" s="24"/>
      <c r="AJ161" s="22"/>
      <c r="AK161" s="22"/>
    </row>
    <row r="162">
      <c r="A162" s="22"/>
      <c r="B162" s="22"/>
      <c r="C162" s="22"/>
      <c r="D162" s="22"/>
      <c r="E162" s="22"/>
      <c r="F162" s="23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3"/>
      <c r="AF162" s="24"/>
      <c r="AG162" s="24"/>
      <c r="AH162" s="24"/>
      <c r="AI162" s="24"/>
      <c r="AJ162" s="22"/>
      <c r="AK162" s="22"/>
    </row>
    <row r="163">
      <c r="A163" s="22"/>
      <c r="B163" s="22"/>
      <c r="C163" s="22"/>
      <c r="D163" s="22"/>
      <c r="E163" s="22"/>
      <c r="F163" s="23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3"/>
      <c r="AF163" s="24"/>
      <c r="AG163" s="24"/>
      <c r="AH163" s="24"/>
      <c r="AI163" s="24"/>
      <c r="AJ163" s="22"/>
      <c r="AK163" s="22"/>
    </row>
    <row r="164">
      <c r="A164" s="22"/>
      <c r="B164" s="22"/>
      <c r="C164" s="22"/>
      <c r="D164" s="22"/>
      <c r="E164" s="22"/>
      <c r="F164" s="23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3"/>
      <c r="AF164" s="24"/>
      <c r="AG164" s="24"/>
      <c r="AH164" s="24"/>
      <c r="AI164" s="24"/>
      <c r="AJ164" s="22"/>
      <c r="AK164" s="22"/>
    </row>
    <row r="165">
      <c r="A165" s="22"/>
      <c r="B165" s="22"/>
      <c r="C165" s="22"/>
      <c r="D165" s="22"/>
      <c r="E165" s="22"/>
      <c r="F165" s="23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3"/>
      <c r="AF165" s="24"/>
      <c r="AG165" s="24"/>
      <c r="AH165" s="24"/>
      <c r="AI165" s="24"/>
      <c r="AJ165" s="22"/>
      <c r="AK165" s="22"/>
    </row>
    <row r="166">
      <c r="A166" s="22"/>
      <c r="B166" s="22"/>
      <c r="C166" s="22"/>
      <c r="D166" s="22"/>
      <c r="E166" s="22"/>
      <c r="F166" s="23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3"/>
      <c r="AF166" s="24"/>
      <c r="AG166" s="24"/>
      <c r="AH166" s="24"/>
      <c r="AI166" s="24"/>
      <c r="AJ166" s="22"/>
      <c r="AK166" s="22"/>
    </row>
    <row r="167">
      <c r="A167" s="22"/>
      <c r="B167" s="22"/>
      <c r="C167" s="22"/>
      <c r="D167" s="22"/>
      <c r="E167" s="22"/>
      <c r="F167" s="23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3"/>
      <c r="AF167" s="24"/>
      <c r="AG167" s="24"/>
      <c r="AH167" s="24"/>
      <c r="AI167" s="24"/>
      <c r="AJ167" s="22"/>
      <c r="AK167" s="22"/>
    </row>
    <row r="168">
      <c r="A168" s="22"/>
      <c r="B168" s="22"/>
      <c r="C168" s="22"/>
      <c r="D168" s="22"/>
      <c r="E168" s="22"/>
      <c r="F168" s="23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3"/>
      <c r="AF168" s="24"/>
      <c r="AG168" s="24"/>
      <c r="AH168" s="24"/>
      <c r="AI168" s="24"/>
      <c r="AJ168" s="22"/>
      <c r="AK168" s="22"/>
    </row>
    <row r="169">
      <c r="A169" s="22"/>
      <c r="B169" s="22"/>
      <c r="C169" s="22"/>
      <c r="D169" s="22"/>
      <c r="E169" s="22"/>
      <c r="F169" s="23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3"/>
      <c r="AF169" s="24"/>
      <c r="AG169" s="24"/>
      <c r="AH169" s="24"/>
      <c r="AI169" s="24"/>
      <c r="AJ169" s="22"/>
      <c r="AK169" s="22"/>
    </row>
    <row r="170">
      <c r="A170" s="22"/>
      <c r="B170" s="22"/>
      <c r="C170" s="22"/>
      <c r="D170" s="22"/>
      <c r="E170" s="22"/>
      <c r="F170" s="23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3"/>
      <c r="AF170" s="24"/>
      <c r="AG170" s="24"/>
      <c r="AH170" s="24"/>
      <c r="AI170" s="24"/>
      <c r="AJ170" s="22"/>
      <c r="AK170" s="22"/>
    </row>
    <row r="171">
      <c r="A171" s="22"/>
      <c r="B171" s="22"/>
      <c r="C171" s="22"/>
      <c r="D171" s="22"/>
      <c r="E171" s="22"/>
      <c r="F171" s="23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3"/>
      <c r="AF171" s="24"/>
      <c r="AG171" s="24"/>
      <c r="AH171" s="24"/>
      <c r="AI171" s="24"/>
      <c r="AJ171" s="22"/>
      <c r="AK171" s="22"/>
    </row>
    <row r="172">
      <c r="A172" s="22"/>
      <c r="B172" s="22"/>
      <c r="C172" s="22"/>
      <c r="D172" s="22"/>
      <c r="E172" s="22"/>
      <c r="F172" s="23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3"/>
      <c r="AF172" s="24"/>
      <c r="AG172" s="24"/>
      <c r="AH172" s="24"/>
      <c r="AI172" s="24"/>
      <c r="AJ172" s="22"/>
      <c r="AK172" s="22"/>
    </row>
    <row r="173">
      <c r="A173" s="22"/>
      <c r="B173" s="22"/>
      <c r="C173" s="22"/>
      <c r="D173" s="22"/>
      <c r="E173" s="22"/>
      <c r="F173" s="23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3"/>
      <c r="AF173" s="24"/>
      <c r="AG173" s="24"/>
      <c r="AH173" s="24"/>
      <c r="AI173" s="24"/>
      <c r="AJ173" s="22"/>
      <c r="AK173" s="22"/>
    </row>
    <row r="174">
      <c r="A174" s="22"/>
      <c r="B174" s="22"/>
      <c r="C174" s="22"/>
      <c r="D174" s="22"/>
      <c r="E174" s="22"/>
      <c r="F174" s="23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3"/>
      <c r="AF174" s="24"/>
      <c r="AG174" s="24"/>
      <c r="AH174" s="24"/>
      <c r="AI174" s="24"/>
      <c r="AJ174" s="22"/>
      <c r="AK174" s="22"/>
    </row>
    <row r="175">
      <c r="A175" s="22"/>
      <c r="B175" s="22"/>
      <c r="C175" s="22"/>
      <c r="D175" s="22"/>
      <c r="E175" s="22"/>
      <c r="F175" s="23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3"/>
      <c r="AF175" s="24"/>
      <c r="AG175" s="24"/>
      <c r="AH175" s="24"/>
      <c r="AI175" s="24"/>
      <c r="AJ175" s="22"/>
      <c r="AK175" s="22"/>
    </row>
    <row r="176">
      <c r="A176" s="22"/>
      <c r="B176" s="22"/>
      <c r="C176" s="22"/>
      <c r="D176" s="22"/>
      <c r="E176" s="22"/>
      <c r="F176" s="23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3"/>
      <c r="AF176" s="24"/>
      <c r="AG176" s="24"/>
      <c r="AH176" s="24"/>
      <c r="AI176" s="24"/>
      <c r="AJ176" s="22"/>
      <c r="AK176" s="22"/>
    </row>
    <row r="177">
      <c r="A177" s="22"/>
      <c r="B177" s="22"/>
      <c r="C177" s="22"/>
      <c r="D177" s="22"/>
      <c r="E177" s="22"/>
      <c r="F177" s="23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3"/>
      <c r="AF177" s="24"/>
      <c r="AG177" s="24"/>
      <c r="AH177" s="24"/>
      <c r="AI177" s="24"/>
      <c r="AJ177" s="22"/>
      <c r="AK177" s="22"/>
    </row>
    <row r="178">
      <c r="A178" s="22"/>
      <c r="B178" s="22"/>
      <c r="C178" s="22"/>
      <c r="D178" s="22"/>
      <c r="E178" s="22"/>
      <c r="F178" s="23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3"/>
      <c r="AF178" s="24"/>
      <c r="AG178" s="24"/>
      <c r="AH178" s="24"/>
      <c r="AI178" s="24"/>
      <c r="AJ178" s="22"/>
      <c r="AK178" s="22"/>
    </row>
    <row r="179">
      <c r="A179" s="22"/>
      <c r="B179" s="22"/>
      <c r="C179" s="22"/>
      <c r="D179" s="22"/>
      <c r="E179" s="22"/>
      <c r="F179" s="23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3"/>
      <c r="AF179" s="24"/>
      <c r="AG179" s="24"/>
      <c r="AH179" s="24"/>
      <c r="AI179" s="24"/>
      <c r="AJ179" s="22"/>
      <c r="AK179" s="22"/>
    </row>
    <row r="180">
      <c r="A180" s="22"/>
      <c r="B180" s="22"/>
      <c r="C180" s="22"/>
      <c r="D180" s="22"/>
      <c r="E180" s="22"/>
      <c r="F180" s="23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3"/>
      <c r="AF180" s="24"/>
      <c r="AG180" s="24"/>
      <c r="AH180" s="24"/>
      <c r="AI180" s="24"/>
      <c r="AJ180" s="22"/>
      <c r="AK180" s="22"/>
    </row>
    <row r="181">
      <c r="A181" s="22"/>
      <c r="B181" s="22"/>
      <c r="C181" s="22"/>
      <c r="D181" s="22"/>
      <c r="E181" s="22"/>
      <c r="F181" s="23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3"/>
      <c r="AF181" s="24"/>
      <c r="AG181" s="24"/>
      <c r="AH181" s="24"/>
      <c r="AI181" s="24"/>
      <c r="AJ181" s="22"/>
      <c r="AK181" s="22"/>
    </row>
    <row r="182">
      <c r="A182" s="22"/>
      <c r="B182" s="22"/>
      <c r="C182" s="22"/>
      <c r="D182" s="22"/>
      <c r="E182" s="22"/>
      <c r="F182" s="23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3"/>
      <c r="AF182" s="24"/>
      <c r="AG182" s="24"/>
      <c r="AH182" s="24"/>
      <c r="AI182" s="24"/>
      <c r="AJ182" s="22"/>
      <c r="AK182" s="22"/>
    </row>
    <row r="183">
      <c r="A183" s="22"/>
      <c r="B183" s="22"/>
      <c r="C183" s="22"/>
      <c r="D183" s="22"/>
      <c r="E183" s="22"/>
      <c r="F183" s="23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3"/>
      <c r="AF183" s="24"/>
      <c r="AG183" s="24"/>
      <c r="AH183" s="24"/>
      <c r="AI183" s="24"/>
      <c r="AJ183" s="22"/>
      <c r="AK183" s="22"/>
    </row>
    <row r="184">
      <c r="A184" s="22"/>
      <c r="B184" s="22"/>
      <c r="C184" s="22"/>
      <c r="D184" s="22"/>
      <c r="E184" s="22"/>
      <c r="F184" s="23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3"/>
      <c r="AF184" s="24"/>
      <c r="AG184" s="24"/>
      <c r="AH184" s="24"/>
      <c r="AI184" s="24"/>
      <c r="AJ184" s="22"/>
      <c r="AK184" s="22"/>
    </row>
    <row r="185">
      <c r="A185" s="22"/>
      <c r="B185" s="22"/>
      <c r="C185" s="22"/>
      <c r="D185" s="22"/>
      <c r="E185" s="22"/>
      <c r="F185" s="23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3"/>
      <c r="AF185" s="24"/>
      <c r="AG185" s="24"/>
      <c r="AH185" s="24"/>
      <c r="AI185" s="24"/>
      <c r="AJ185" s="22"/>
      <c r="AK185" s="22"/>
    </row>
    <row r="186">
      <c r="A186" s="22"/>
      <c r="B186" s="22"/>
      <c r="C186" s="22"/>
      <c r="D186" s="22"/>
      <c r="E186" s="22"/>
      <c r="F186" s="23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3"/>
      <c r="AF186" s="24"/>
      <c r="AG186" s="24"/>
      <c r="AH186" s="24"/>
      <c r="AI186" s="24"/>
      <c r="AJ186" s="22"/>
      <c r="AK186" s="22"/>
    </row>
    <row r="187">
      <c r="A187" s="22"/>
      <c r="B187" s="22"/>
      <c r="C187" s="22"/>
      <c r="D187" s="22"/>
      <c r="E187" s="22"/>
      <c r="F187" s="23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3"/>
      <c r="AF187" s="24"/>
      <c r="AG187" s="24"/>
      <c r="AH187" s="24"/>
      <c r="AI187" s="24"/>
      <c r="AJ187" s="22"/>
      <c r="AK187" s="22"/>
    </row>
    <row r="188">
      <c r="A188" s="22"/>
      <c r="B188" s="22"/>
      <c r="C188" s="22"/>
      <c r="D188" s="22"/>
      <c r="E188" s="22"/>
      <c r="F188" s="23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3"/>
      <c r="AF188" s="24"/>
      <c r="AG188" s="24"/>
      <c r="AH188" s="24"/>
      <c r="AI188" s="24"/>
      <c r="AJ188" s="22"/>
      <c r="AK188" s="22"/>
    </row>
    <row r="189">
      <c r="A189" s="22"/>
      <c r="B189" s="22"/>
      <c r="C189" s="22"/>
      <c r="D189" s="22"/>
      <c r="E189" s="22"/>
      <c r="F189" s="23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3"/>
      <c r="AF189" s="24"/>
      <c r="AG189" s="24"/>
      <c r="AH189" s="24"/>
      <c r="AI189" s="24"/>
      <c r="AJ189" s="22"/>
      <c r="AK189" s="22"/>
    </row>
    <row r="190">
      <c r="A190" s="22"/>
      <c r="B190" s="22"/>
      <c r="C190" s="22"/>
      <c r="D190" s="22"/>
      <c r="E190" s="22"/>
      <c r="F190" s="23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3"/>
      <c r="AF190" s="24"/>
      <c r="AG190" s="24"/>
      <c r="AH190" s="24"/>
      <c r="AI190" s="24"/>
      <c r="AJ190" s="22"/>
      <c r="AK190" s="22"/>
    </row>
    <row r="191">
      <c r="A191" s="22"/>
      <c r="B191" s="22"/>
      <c r="C191" s="22"/>
      <c r="D191" s="22"/>
      <c r="E191" s="22"/>
      <c r="F191" s="23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3"/>
      <c r="AF191" s="24"/>
      <c r="AG191" s="24"/>
      <c r="AH191" s="24"/>
      <c r="AI191" s="24"/>
      <c r="AJ191" s="22"/>
      <c r="AK191" s="22"/>
    </row>
    <row r="192">
      <c r="A192" s="22"/>
      <c r="B192" s="22"/>
      <c r="C192" s="22"/>
      <c r="D192" s="22"/>
      <c r="E192" s="22"/>
      <c r="F192" s="23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3"/>
      <c r="AF192" s="24"/>
      <c r="AG192" s="24"/>
      <c r="AH192" s="24"/>
      <c r="AI192" s="24"/>
      <c r="AJ192" s="22"/>
      <c r="AK192" s="22"/>
    </row>
    <row r="193">
      <c r="A193" s="22"/>
      <c r="B193" s="22"/>
      <c r="C193" s="22"/>
      <c r="D193" s="22"/>
      <c r="E193" s="22"/>
      <c r="F193" s="23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3"/>
      <c r="AF193" s="24"/>
      <c r="AG193" s="24"/>
      <c r="AH193" s="24"/>
      <c r="AI193" s="24"/>
      <c r="AJ193" s="22"/>
      <c r="AK193" s="22"/>
    </row>
    <row r="194">
      <c r="A194" s="22"/>
      <c r="B194" s="22"/>
      <c r="C194" s="22"/>
      <c r="D194" s="22"/>
      <c r="E194" s="22"/>
      <c r="F194" s="23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3"/>
      <c r="AF194" s="24"/>
      <c r="AG194" s="24"/>
      <c r="AH194" s="24"/>
      <c r="AI194" s="24"/>
      <c r="AJ194" s="22"/>
      <c r="AK194" s="22"/>
    </row>
    <row r="195">
      <c r="A195" s="22"/>
      <c r="B195" s="22"/>
      <c r="C195" s="22"/>
      <c r="D195" s="22"/>
      <c r="E195" s="22"/>
      <c r="F195" s="23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3"/>
      <c r="AF195" s="24"/>
      <c r="AG195" s="24"/>
      <c r="AH195" s="24"/>
      <c r="AI195" s="24"/>
      <c r="AJ195" s="22"/>
      <c r="AK195" s="22"/>
    </row>
    <row r="196">
      <c r="A196" s="22"/>
      <c r="B196" s="22"/>
      <c r="C196" s="22"/>
      <c r="D196" s="22"/>
      <c r="E196" s="22"/>
      <c r="F196" s="23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3"/>
      <c r="AF196" s="24"/>
      <c r="AG196" s="24"/>
      <c r="AH196" s="24"/>
      <c r="AI196" s="24"/>
      <c r="AJ196" s="22"/>
      <c r="AK196" s="22"/>
    </row>
    <row r="197">
      <c r="A197" s="22"/>
      <c r="B197" s="22"/>
      <c r="C197" s="22"/>
      <c r="D197" s="22"/>
      <c r="E197" s="22"/>
      <c r="F197" s="23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3"/>
      <c r="AF197" s="24"/>
      <c r="AG197" s="24"/>
      <c r="AH197" s="24"/>
      <c r="AI197" s="24"/>
      <c r="AJ197" s="22"/>
      <c r="AK197" s="22"/>
    </row>
    <row r="198">
      <c r="A198" s="22"/>
      <c r="B198" s="22"/>
      <c r="C198" s="22"/>
      <c r="D198" s="22"/>
      <c r="E198" s="22"/>
      <c r="F198" s="23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3"/>
      <c r="AF198" s="24"/>
      <c r="AG198" s="24"/>
      <c r="AH198" s="24"/>
      <c r="AI198" s="24"/>
      <c r="AJ198" s="22"/>
      <c r="AK198" s="22"/>
    </row>
    <row r="199">
      <c r="A199" s="22"/>
      <c r="B199" s="22"/>
      <c r="C199" s="22"/>
      <c r="D199" s="22"/>
      <c r="E199" s="22"/>
      <c r="F199" s="23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3"/>
      <c r="AF199" s="24"/>
      <c r="AG199" s="24"/>
      <c r="AH199" s="24"/>
      <c r="AI199" s="24"/>
      <c r="AJ199" s="22"/>
      <c r="AK199" s="22"/>
    </row>
    <row r="200">
      <c r="A200" s="22"/>
      <c r="B200" s="22"/>
      <c r="C200" s="22"/>
      <c r="D200" s="22"/>
      <c r="E200" s="22"/>
      <c r="F200" s="23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3"/>
      <c r="AF200" s="24"/>
      <c r="AG200" s="24"/>
      <c r="AH200" s="24"/>
      <c r="AI200" s="24"/>
      <c r="AJ200" s="22"/>
      <c r="AK200" s="22"/>
    </row>
    <row r="201">
      <c r="A201" s="22"/>
      <c r="B201" s="22"/>
      <c r="C201" s="22"/>
      <c r="D201" s="22"/>
      <c r="E201" s="22"/>
      <c r="F201" s="23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3"/>
      <c r="AF201" s="24"/>
      <c r="AG201" s="24"/>
      <c r="AH201" s="24"/>
      <c r="AI201" s="24"/>
      <c r="AJ201" s="22"/>
      <c r="AK201" s="22"/>
    </row>
    <row r="202">
      <c r="A202" s="22"/>
      <c r="B202" s="22"/>
      <c r="C202" s="22"/>
      <c r="D202" s="22"/>
      <c r="E202" s="22"/>
      <c r="F202" s="23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3"/>
      <c r="AF202" s="24"/>
      <c r="AG202" s="24"/>
      <c r="AH202" s="24"/>
      <c r="AI202" s="24"/>
      <c r="AJ202" s="22"/>
      <c r="AK202" s="22"/>
    </row>
    <row r="203">
      <c r="A203" s="22"/>
      <c r="B203" s="22"/>
      <c r="C203" s="22"/>
      <c r="D203" s="22"/>
      <c r="E203" s="22"/>
      <c r="F203" s="23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3"/>
      <c r="AF203" s="24"/>
      <c r="AG203" s="24"/>
      <c r="AH203" s="24"/>
      <c r="AI203" s="24"/>
      <c r="AJ203" s="22"/>
      <c r="AK203" s="22"/>
    </row>
    <row r="204">
      <c r="A204" s="22"/>
      <c r="B204" s="22"/>
      <c r="C204" s="22"/>
      <c r="D204" s="22"/>
      <c r="E204" s="22"/>
      <c r="F204" s="23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3"/>
      <c r="AF204" s="24"/>
      <c r="AG204" s="24"/>
      <c r="AH204" s="24"/>
      <c r="AI204" s="24"/>
      <c r="AJ204" s="22"/>
      <c r="AK204" s="22"/>
    </row>
    <row r="205">
      <c r="A205" s="22"/>
      <c r="B205" s="22"/>
      <c r="C205" s="22"/>
      <c r="D205" s="22"/>
      <c r="E205" s="22"/>
      <c r="F205" s="23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3"/>
      <c r="AF205" s="24"/>
      <c r="AG205" s="24"/>
      <c r="AH205" s="24"/>
      <c r="AI205" s="24"/>
      <c r="AJ205" s="22"/>
      <c r="AK205" s="22"/>
    </row>
    <row r="206">
      <c r="A206" s="22"/>
      <c r="B206" s="22"/>
      <c r="C206" s="22"/>
      <c r="D206" s="22"/>
      <c r="E206" s="22"/>
      <c r="F206" s="23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3"/>
      <c r="AF206" s="24"/>
      <c r="AG206" s="24"/>
      <c r="AH206" s="24"/>
      <c r="AI206" s="24"/>
      <c r="AJ206" s="22"/>
      <c r="AK206" s="22"/>
    </row>
    <row r="207">
      <c r="A207" s="22"/>
      <c r="B207" s="22"/>
      <c r="C207" s="22"/>
      <c r="D207" s="22"/>
      <c r="E207" s="22"/>
      <c r="F207" s="23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3"/>
      <c r="AF207" s="24"/>
      <c r="AG207" s="24"/>
      <c r="AH207" s="24"/>
      <c r="AI207" s="24"/>
      <c r="AJ207" s="22"/>
      <c r="AK207" s="22"/>
    </row>
    <row r="208">
      <c r="A208" s="22"/>
      <c r="B208" s="22"/>
      <c r="C208" s="22"/>
      <c r="D208" s="22"/>
      <c r="E208" s="22"/>
      <c r="F208" s="23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3"/>
      <c r="AF208" s="24"/>
      <c r="AG208" s="24"/>
      <c r="AH208" s="24"/>
      <c r="AI208" s="24"/>
      <c r="AJ208" s="22"/>
      <c r="AK208" s="22"/>
    </row>
    <row r="209">
      <c r="A209" s="22"/>
      <c r="B209" s="22"/>
      <c r="C209" s="22"/>
      <c r="D209" s="22"/>
      <c r="E209" s="22"/>
      <c r="F209" s="23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3"/>
      <c r="AF209" s="24"/>
      <c r="AG209" s="24"/>
      <c r="AH209" s="24"/>
      <c r="AI209" s="24"/>
      <c r="AJ209" s="22"/>
      <c r="AK209" s="22"/>
    </row>
    <row r="210">
      <c r="A210" s="22"/>
      <c r="B210" s="22"/>
      <c r="C210" s="22"/>
      <c r="D210" s="22"/>
      <c r="E210" s="22"/>
      <c r="F210" s="23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3"/>
      <c r="AF210" s="24"/>
      <c r="AG210" s="24"/>
      <c r="AH210" s="24"/>
      <c r="AI210" s="24"/>
      <c r="AJ210" s="22"/>
      <c r="AK210" s="22"/>
    </row>
    <row r="211">
      <c r="A211" s="22"/>
      <c r="B211" s="22"/>
      <c r="C211" s="22"/>
      <c r="D211" s="22"/>
      <c r="E211" s="22"/>
      <c r="F211" s="23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3"/>
      <c r="AF211" s="24"/>
      <c r="AG211" s="24"/>
      <c r="AH211" s="24"/>
      <c r="AI211" s="24"/>
      <c r="AJ211" s="22"/>
      <c r="AK211" s="22"/>
    </row>
    <row r="212">
      <c r="A212" s="22"/>
      <c r="B212" s="22"/>
      <c r="C212" s="22"/>
      <c r="D212" s="22"/>
      <c r="E212" s="22"/>
      <c r="F212" s="23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3"/>
      <c r="AF212" s="24"/>
      <c r="AG212" s="24"/>
      <c r="AH212" s="24"/>
      <c r="AI212" s="24"/>
      <c r="AJ212" s="22"/>
      <c r="AK212" s="22"/>
    </row>
    <row r="213">
      <c r="A213" s="22"/>
      <c r="B213" s="22"/>
      <c r="C213" s="22"/>
      <c r="D213" s="22"/>
      <c r="E213" s="22"/>
      <c r="F213" s="23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3"/>
      <c r="AF213" s="24"/>
      <c r="AG213" s="24"/>
      <c r="AH213" s="24"/>
      <c r="AI213" s="24"/>
      <c r="AJ213" s="22"/>
      <c r="AK213" s="22"/>
    </row>
    <row r="214">
      <c r="A214" s="22"/>
      <c r="B214" s="22"/>
      <c r="C214" s="22"/>
      <c r="D214" s="22"/>
      <c r="E214" s="22"/>
      <c r="F214" s="23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3"/>
      <c r="AF214" s="24"/>
      <c r="AG214" s="24"/>
      <c r="AH214" s="24"/>
      <c r="AI214" s="24"/>
      <c r="AJ214" s="22"/>
      <c r="AK214" s="22"/>
    </row>
    <row r="215">
      <c r="A215" s="22"/>
      <c r="B215" s="22"/>
      <c r="C215" s="22"/>
      <c r="D215" s="22"/>
      <c r="E215" s="22"/>
      <c r="F215" s="23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3"/>
      <c r="AF215" s="24"/>
      <c r="AG215" s="24"/>
      <c r="AH215" s="24"/>
      <c r="AI215" s="24"/>
      <c r="AJ215" s="22"/>
      <c r="AK215" s="22"/>
    </row>
    <row r="216">
      <c r="A216" s="22"/>
      <c r="B216" s="22"/>
      <c r="C216" s="22"/>
      <c r="D216" s="22"/>
      <c r="E216" s="22"/>
      <c r="F216" s="23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3"/>
      <c r="AF216" s="24"/>
      <c r="AG216" s="24"/>
      <c r="AH216" s="24"/>
      <c r="AI216" s="24"/>
      <c r="AJ216" s="22"/>
      <c r="AK216" s="22"/>
    </row>
    <row r="217">
      <c r="A217" s="22"/>
      <c r="B217" s="22"/>
      <c r="C217" s="22"/>
      <c r="D217" s="22"/>
      <c r="E217" s="22"/>
      <c r="F217" s="23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3"/>
      <c r="AF217" s="24"/>
      <c r="AG217" s="24"/>
      <c r="AH217" s="24"/>
      <c r="AI217" s="24"/>
      <c r="AJ217" s="22"/>
      <c r="AK217" s="22"/>
    </row>
    <row r="218">
      <c r="A218" s="22"/>
      <c r="B218" s="22"/>
      <c r="C218" s="22"/>
      <c r="D218" s="22"/>
      <c r="E218" s="22"/>
      <c r="F218" s="23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3"/>
      <c r="AF218" s="24"/>
      <c r="AG218" s="24"/>
      <c r="AH218" s="24"/>
      <c r="AI218" s="24"/>
      <c r="AJ218" s="22"/>
      <c r="AK218" s="22"/>
    </row>
    <row r="219">
      <c r="A219" s="22"/>
      <c r="B219" s="22"/>
      <c r="C219" s="22"/>
      <c r="D219" s="22"/>
      <c r="E219" s="22"/>
      <c r="F219" s="23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3"/>
      <c r="AF219" s="24"/>
      <c r="AG219" s="24"/>
      <c r="AH219" s="24"/>
      <c r="AI219" s="24"/>
      <c r="AJ219" s="22"/>
      <c r="AK219" s="22"/>
    </row>
    <row r="220">
      <c r="A220" s="22"/>
      <c r="B220" s="22"/>
      <c r="C220" s="22"/>
      <c r="D220" s="22"/>
      <c r="E220" s="22"/>
      <c r="F220" s="23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3"/>
      <c r="AF220" s="24"/>
      <c r="AG220" s="24"/>
      <c r="AH220" s="24"/>
      <c r="AI220" s="24"/>
      <c r="AJ220" s="22"/>
      <c r="AK220" s="22"/>
    </row>
    <row r="221">
      <c r="A221" s="22"/>
      <c r="B221" s="22"/>
      <c r="C221" s="22"/>
      <c r="D221" s="22"/>
      <c r="E221" s="22"/>
      <c r="F221" s="23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3"/>
      <c r="AF221" s="24"/>
      <c r="AG221" s="24"/>
      <c r="AH221" s="24"/>
      <c r="AI221" s="24"/>
      <c r="AJ221" s="22"/>
      <c r="AK221" s="22"/>
    </row>
    <row r="222">
      <c r="A222" s="22"/>
      <c r="B222" s="22"/>
      <c r="C222" s="22"/>
      <c r="D222" s="22"/>
      <c r="E222" s="22"/>
      <c r="F222" s="23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3"/>
      <c r="AF222" s="24"/>
      <c r="AG222" s="24"/>
      <c r="AH222" s="24"/>
      <c r="AI222" s="24"/>
      <c r="AJ222" s="22"/>
      <c r="AK222" s="22"/>
    </row>
    <row r="223">
      <c r="A223" s="22"/>
      <c r="B223" s="22"/>
      <c r="C223" s="22"/>
      <c r="D223" s="22"/>
      <c r="E223" s="22"/>
      <c r="F223" s="23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3"/>
      <c r="AF223" s="24"/>
      <c r="AG223" s="24"/>
      <c r="AH223" s="24"/>
      <c r="AI223" s="24"/>
      <c r="AJ223" s="22"/>
      <c r="AK223" s="22"/>
    </row>
    <row r="224">
      <c r="A224" s="22"/>
      <c r="B224" s="22"/>
      <c r="C224" s="22"/>
      <c r="D224" s="22"/>
      <c r="E224" s="22"/>
      <c r="F224" s="23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3"/>
      <c r="AF224" s="24"/>
      <c r="AG224" s="24"/>
      <c r="AH224" s="24"/>
      <c r="AI224" s="24"/>
      <c r="AJ224" s="22"/>
      <c r="AK224" s="22"/>
    </row>
    <row r="225">
      <c r="A225" s="22"/>
      <c r="B225" s="22"/>
      <c r="C225" s="22"/>
      <c r="D225" s="22"/>
      <c r="E225" s="22"/>
      <c r="F225" s="23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3"/>
      <c r="AF225" s="24"/>
      <c r="AG225" s="24"/>
      <c r="AH225" s="24"/>
      <c r="AI225" s="24"/>
      <c r="AJ225" s="22"/>
      <c r="AK225" s="22"/>
    </row>
    <row r="226">
      <c r="A226" s="22"/>
      <c r="B226" s="22"/>
      <c r="C226" s="22"/>
      <c r="D226" s="22"/>
      <c r="E226" s="22"/>
      <c r="F226" s="23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3"/>
      <c r="AF226" s="24"/>
      <c r="AG226" s="24"/>
      <c r="AH226" s="24"/>
      <c r="AI226" s="24"/>
      <c r="AJ226" s="22"/>
      <c r="AK226" s="22"/>
    </row>
    <row r="227">
      <c r="A227" s="22"/>
      <c r="B227" s="22"/>
      <c r="C227" s="22"/>
      <c r="D227" s="22"/>
      <c r="E227" s="22"/>
      <c r="F227" s="23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3"/>
      <c r="AF227" s="24"/>
      <c r="AG227" s="24"/>
      <c r="AH227" s="24"/>
      <c r="AI227" s="24"/>
      <c r="AJ227" s="22"/>
      <c r="AK227" s="22"/>
    </row>
    <row r="228">
      <c r="A228" s="22"/>
      <c r="B228" s="22"/>
      <c r="C228" s="22"/>
      <c r="D228" s="22"/>
      <c r="E228" s="22"/>
      <c r="F228" s="23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3"/>
      <c r="AF228" s="24"/>
      <c r="AG228" s="24"/>
      <c r="AH228" s="24"/>
      <c r="AI228" s="24"/>
      <c r="AJ228" s="22"/>
      <c r="AK228" s="22"/>
    </row>
    <row r="229">
      <c r="A229" s="22"/>
      <c r="B229" s="22"/>
      <c r="C229" s="22"/>
      <c r="D229" s="22"/>
      <c r="E229" s="22"/>
      <c r="F229" s="23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3"/>
      <c r="AF229" s="24"/>
      <c r="AG229" s="24"/>
      <c r="AH229" s="24"/>
      <c r="AI229" s="24"/>
      <c r="AJ229" s="22"/>
      <c r="AK229" s="22"/>
    </row>
    <row r="230">
      <c r="A230" s="22"/>
      <c r="B230" s="22"/>
      <c r="C230" s="22"/>
      <c r="D230" s="22"/>
      <c r="E230" s="22"/>
      <c r="F230" s="23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3"/>
      <c r="AF230" s="24"/>
      <c r="AG230" s="24"/>
      <c r="AH230" s="24"/>
      <c r="AI230" s="24"/>
      <c r="AJ230" s="22"/>
      <c r="AK230" s="22"/>
    </row>
    <row r="231">
      <c r="A231" s="22"/>
      <c r="B231" s="22"/>
      <c r="C231" s="22"/>
      <c r="D231" s="22"/>
      <c r="E231" s="22"/>
      <c r="F231" s="23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3"/>
      <c r="AF231" s="24"/>
      <c r="AG231" s="24"/>
      <c r="AH231" s="24"/>
      <c r="AI231" s="24"/>
      <c r="AJ231" s="22"/>
      <c r="AK231" s="22"/>
    </row>
    <row r="232">
      <c r="A232" s="22"/>
      <c r="B232" s="22"/>
      <c r="C232" s="22"/>
      <c r="D232" s="22"/>
      <c r="E232" s="22"/>
      <c r="F232" s="23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3"/>
      <c r="AF232" s="24"/>
      <c r="AG232" s="24"/>
      <c r="AH232" s="24"/>
      <c r="AI232" s="24"/>
      <c r="AJ232" s="22"/>
      <c r="AK232" s="22"/>
    </row>
    <row r="233">
      <c r="A233" s="22"/>
      <c r="B233" s="22"/>
      <c r="C233" s="22"/>
      <c r="D233" s="22"/>
      <c r="E233" s="22"/>
      <c r="F233" s="23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3"/>
      <c r="AF233" s="24"/>
      <c r="AG233" s="24"/>
      <c r="AH233" s="24"/>
      <c r="AI233" s="24"/>
      <c r="AJ233" s="22"/>
      <c r="AK233" s="22"/>
    </row>
    <row r="234">
      <c r="A234" s="22"/>
      <c r="B234" s="22"/>
      <c r="C234" s="22"/>
      <c r="D234" s="22"/>
      <c r="E234" s="22"/>
      <c r="F234" s="23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3"/>
      <c r="AF234" s="24"/>
      <c r="AG234" s="24"/>
      <c r="AH234" s="24"/>
      <c r="AI234" s="24"/>
      <c r="AJ234" s="22"/>
      <c r="AK234" s="22"/>
    </row>
    <row r="235">
      <c r="A235" s="22"/>
      <c r="B235" s="22"/>
      <c r="C235" s="22"/>
      <c r="D235" s="22"/>
      <c r="E235" s="22"/>
      <c r="F235" s="23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3"/>
      <c r="AF235" s="24"/>
      <c r="AG235" s="24"/>
      <c r="AH235" s="24"/>
      <c r="AI235" s="24"/>
      <c r="AJ235" s="22"/>
      <c r="AK235" s="22"/>
    </row>
    <row r="236">
      <c r="A236" s="22"/>
      <c r="B236" s="22"/>
      <c r="C236" s="22"/>
      <c r="D236" s="22"/>
      <c r="E236" s="22"/>
      <c r="F236" s="23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3"/>
      <c r="AF236" s="24"/>
      <c r="AG236" s="24"/>
      <c r="AH236" s="24"/>
      <c r="AI236" s="24"/>
      <c r="AJ236" s="22"/>
      <c r="AK236" s="22"/>
    </row>
    <row r="237">
      <c r="A237" s="22"/>
      <c r="B237" s="22"/>
      <c r="C237" s="22"/>
      <c r="D237" s="22"/>
      <c r="E237" s="22"/>
      <c r="F237" s="23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3"/>
      <c r="AF237" s="24"/>
      <c r="AG237" s="24"/>
      <c r="AH237" s="24"/>
      <c r="AI237" s="24"/>
      <c r="AJ237" s="22"/>
      <c r="AK237" s="22"/>
    </row>
    <row r="238">
      <c r="A238" s="22"/>
      <c r="B238" s="22"/>
      <c r="C238" s="22"/>
      <c r="D238" s="22"/>
      <c r="E238" s="22"/>
      <c r="F238" s="23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3"/>
      <c r="AF238" s="24"/>
      <c r="AG238" s="24"/>
      <c r="AH238" s="24"/>
      <c r="AI238" s="24"/>
      <c r="AJ238" s="22"/>
      <c r="AK238" s="22"/>
    </row>
    <row r="239">
      <c r="A239" s="22"/>
      <c r="B239" s="22"/>
      <c r="C239" s="22"/>
      <c r="D239" s="22"/>
      <c r="E239" s="22"/>
      <c r="F239" s="23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3"/>
      <c r="AF239" s="24"/>
      <c r="AG239" s="24"/>
      <c r="AH239" s="24"/>
      <c r="AI239" s="24"/>
      <c r="AJ239" s="22"/>
      <c r="AK239" s="22"/>
    </row>
    <row r="240">
      <c r="A240" s="22"/>
      <c r="B240" s="22"/>
      <c r="C240" s="22"/>
      <c r="D240" s="22"/>
      <c r="E240" s="22"/>
      <c r="F240" s="23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3"/>
      <c r="AF240" s="24"/>
      <c r="AG240" s="24"/>
      <c r="AH240" s="24"/>
      <c r="AI240" s="24"/>
      <c r="AJ240" s="22"/>
      <c r="AK240" s="22"/>
    </row>
    <row r="241">
      <c r="A241" s="22"/>
      <c r="B241" s="22"/>
      <c r="C241" s="22"/>
      <c r="D241" s="22"/>
      <c r="E241" s="22"/>
      <c r="F241" s="23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3"/>
      <c r="AF241" s="24"/>
      <c r="AG241" s="24"/>
      <c r="AH241" s="24"/>
      <c r="AI241" s="24"/>
      <c r="AJ241" s="22"/>
      <c r="AK241" s="22"/>
    </row>
    <row r="242">
      <c r="A242" s="22"/>
      <c r="B242" s="22"/>
      <c r="C242" s="22"/>
      <c r="D242" s="22"/>
      <c r="E242" s="22"/>
      <c r="F242" s="23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3"/>
      <c r="AF242" s="24"/>
      <c r="AG242" s="24"/>
      <c r="AH242" s="24"/>
      <c r="AI242" s="24"/>
      <c r="AJ242" s="22"/>
      <c r="AK242" s="22"/>
    </row>
    <row r="243">
      <c r="A243" s="22"/>
      <c r="B243" s="22"/>
      <c r="C243" s="22"/>
      <c r="D243" s="22"/>
      <c r="E243" s="22"/>
      <c r="F243" s="23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3"/>
      <c r="AF243" s="24"/>
      <c r="AG243" s="24"/>
      <c r="AH243" s="24"/>
      <c r="AI243" s="24"/>
      <c r="AJ243" s="22"/>
      <c r="AK243" s="22"/>
    </row>
    <row r="244">
      <c r="A244" s="22"/>
      <c r="B244" s="22"/>
      <c r="C244" s="22"/>
      <c r="D244" s="22"/>
      <c r="E244" s="22"/>
      <c r="F244" s="23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3"/>
      <c r="AF244" s="24"/>
      <c r="AG244" s="24"/>
      <c r="AH244" s="24"/>
      <c r="AI244" s="24"/>
      <c r="AJ244" s="22"/>
      <c r="AK244" s="22"/>
    </row>
    <row r="245">
      <c r="A245" s="22"/>
      <c r="B245" s="22"/>
      <c r="C245" s="22"/>
      <c r="D245" s="22"/>
      <c r="E245" s="22"/>
      <c r="F245" s="23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3"/>
      <c r="AF245" s="24"/>
      <c r="AG245" s="24"/>
      <c r="AH245" s="24"/>
      <c r="AI245" s="24"/>
      <c r="AJ245" s="22"/>
      <c r="AK245" s="22"/>
    </row>
    <row r="246">
      <c r="A246" s="22"/>
      <c r="B246" s="22"/>
      <c r="C246" s="22"/>
      <c r="D246" s="22"/>
      <c r="E246" s="22"/>
      <c r="F246" s="23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3"/>
      <c r="AF246" s="24"/>
      <c r="AG246" s="24"/>
      <c r="AH246" s="24"/>
      <c r="AI246" s="24"/>
      <c r="AJ246" s="22"/>
      <c r="AK246" s="22"/>
    </row>
    <row r="247">
      <c r="A247" s="22"/>
      <c r="B247" s="22"/>
      <c r="C247" s="22"/>
      <c r="D247" s="22"/>
      <c r="E247" s="22"/>
      <c r="F247" s="23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3"/>
      <c r="AF247" s="24"/>
      <c r="AG247" s="24"/>
      <c r="AH247" s="24"/>
      <c r="AI247" s="24"/>
      <c r="AJ247" s="22"/>
      <c r="AK247" s="22"/>
    </row>
    <row r="248">
      <c r="A248" s="22"/>
      <c r="B248" s="22"/>
      <c r="C248" s="22"/>
      <c r="D248" s="22"/>
      <c r="E248" s="22"/>
      <c r="F248" s="23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3"/>
      <c r="AF248" s="24"/>
      <c r="AG248" s="24"/>
      <c r="AH248" s="24"/>
      <c r="AI248" s="24"/>
      <c r="AJ248" s="22"/>
      <c r="AK248" s="22"/>
    </row>
    <row r="249">
      <c r="A249" s="22"/>
      <c r="B249" s="22"/>
      <c r="C249" s="22"/>
      <c r="D249" s="22"/>
      <c r="E249" s="22"/>
      <c r="F249" s="23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3"/>
      <c r="AF249" s="24"/>
      <c r="AG249" s="24"/>
      <c r="AH249" s="24"/>
      <c r="AI249" s="24"/>
      <c r="AJ249" s="22"/>
      <c r="AK249" s="22"/>
    </row>
    <row r="250">
      <c r="A250" s="22"/>
      <c r="B250" s="22"/>
      <c r="C250" s="22"/>
      <c r="D250" s="22"/>
      <c r="E250" s="22"/>
      <c r="F250" s="23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3"/>
      <c r="AF250" s="24"/>
      <c r="AG250" s="24"/>
      <c r="AH250" s="24"/>
      <c r="AI250" s="24"/>
      <c r="AJ250" s="22"/>
      <c r="AK250" s="22"/>
    </row>
    <row r="251">
      <c r="A251" s="22"/>
      <c r="B251" s="22"/>
      <c r="C251" s="22"/>
      <c r="D251" s="22"/>
      <c r="E251" s="22"/>
      <c r="F251" s="23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3"/>
      <c r="AF251" s="24"/>
      <c r="AG251" s="24"/>
      <c r="AH251" s="24"/>
      <c r="AI251" s="24"/>
      <c r="AJ251" s="22"/>
      <c r="AK251" s="22"/>
    </row>
    <row r="252">
      <c r="A252" s="22"/>
      <c r="B252" s="22"/>
      <c r="C252" s="22"/>
      <c r="D252" s="22"/>
      <c r="E252" s="22"/>
      <c r="F252" s="23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3"/>
      <c r="AF252" s="24"/>
      <c r="AG252" s="24"/>
      <c r="AH252" s="24"/>
      <c r="AI252" s="24"/>
      <c r="AJ252" s="22"/>
      <c r="AK252" s="22"/>
    </row>
    <row r="253">
      <c r="A253" s="22"/>
      <c r="B253" s="22"/>
      <c r="C253" s="22"/>
      <c r="D253" s="22"/>
      <c r="E253" s="22"/>
      <c r="F253" s="23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3"/>
      <c r="AF253" s="24"/>
      <c r="AG253" s="24"/>
      <c r="AH253" s="24"/>
      <c r="AI253" s="24"/>
      <c r="AJ253" s="22"/>
      <c r="AK253" s="22"/>
    </row>
    <row r="254">
      <c r="A254" s="22"/>
      <c r="B254" s="22"/>
      <c r="C254" s="22"/>
      <c r="D254" s="22"/>
      <c r="E254" s="22"/>
      <c r="F254" s="23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3"/>
      <c r="AF254" s="24"/>
      <c r="AG254" s="24"/>
      <c r="AH254" s="24"/>
      <c r="AI254" s="24"/>
      <c r="AJ254" s="22"/>
      <c r="AK254" s="22"/>
    </row>
    <row r="255">
      <c r="A255" s="22"/>
      <c r="B255" s="22"/>
      <c r="C255" s="22"/>
      <c r="D255" s="22"/>
      <c r="E255" s="22"/>
      <c r="F255" s="23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3"/>
      <c r="AF255" s="24"/>
      <c r="AG255" s="24"/>
      <c r="AH255" s="24"/>
      <c r="AI255" s="24"/>
      <c r="AJ255" s="22"/>
      <c r="AK255" s="22"/>
    </row>
    <row r="256">
      <c r="A256" s="22"/>
      <c r="B256" s="22"/>
      <c r="C256" s="22"/>
      <c r="D256" s="22"/>
      <c r="E256" s="22"/>
      <c r="F256" s="23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3"/>
      <c r="AF256" s="24"/>
      <c r="AG256" s="24"/>
      <c r="AH256" s="24"/>
      <c r="AI256" s="24"/>
      <c r="AJ256" s="22"/>
      <c r="AK256" s="22"/>
    </row>
    <row r="257">
      <c r="A257" s="22"/>
      <c r="B257" s="22"/>
      <c r="C257" s="22"/>
      <c r="D257" s="22"/>
      <c r="E257" s="22"/>
      <c r="F257" s="23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3"/>
      <c r="AF257" s="24"/>
      <c r="AG257" s="24"/>
      <c r="AH257" s="24"/>
      <c r="AI257" s="24"/>
      <c r="AJ257" s="22"/>
      <c r="AK257" s="22"/>
    </row>
    <row r="258">
      <c r="A258" s="22"/>
      <c r="B258" s="22"/>
      <c r="C258" s="22"/>
      <c r="D258" s="22"/>
      <c r="E258" s="22"/>
      <c r="F258" s="23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3"/>
      <c r="AF258" s="24"/>
      <c r="AG258" s="24"/>
      <c r="AH258" s="24"/>
      <c r="AI258" s="24"/>
      <c r="AJ258" s="22"/>
      <c r="AK258" s="22"/>
    </row>
    <row r="259">
      <c r="A259" s="22"/>
      <c r="B259" s="22"/>
      <c r="C259" s="22"/>
      <c r="D259" s="22"/>
      <c r="E259" s="22"/>
      <c r="F259" s="23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3"/>
      <c r="AF259" s="24"/>
      <c r="AG259" s="24"/>
      <c r="AH259" s="24"/>
      <c r="AI259" s="24"/>
      <c r="AJ259" s="22"/>
      <c r="AK259" s="22"/>
    </row>
    <row r="260">
      <c r="A260" s="22"/>
      <c r="B260" s="22"/>
      <c r="C260" s="22"/>
      <c r="D260" s="22"/>
      <c r="E260" s="22"/>
      <c r="F260" s="23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3"/>
      <c r="AF260" s="24"/>
      <c r="AG260" s="24"/>
      <c r="AH260" s="24"/>
      <c r="AI260" s="24"/>
      <c r="AJ260" s="22"/>
      <c r="AK260" s="22"/>
    </row>
    <row r="261">
      <c r="A261" s="22"/>
      <c r="B261" s="22"/>
      <c r="C261" s="22"/>
      <c r="D261" s="22"/>
      <c r="E261" s="22"/>
      <c r="F261" s="23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3"/>
      <c r="AF261" s="24"/>
      <c r="AG261" s="24"/>
      <c r="AH261" s="24"/>
      <c r="AI261" s="24"/>
      <c r="AJ261" s="22"/>
      <c r="AK261" s="22"/>
    </row>
    <row r="262">
      <c r="A262" s="22"/>
      <c r="B262" s="22"/>
      <c r="C262" s="22"/>
      <c r="D262" s="22"/>
      <c r="E262" s="22"/>
      <c r="F262" s="23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3"/>
      <c r="AF262" s="24"/>
      <c r="AG262" s="24"/>
      <c r="AH262" s="24"/>
      <c r="AI262" s="24"/>
      <c r="AJ262" s="22"/>
      <c r="AK262" s="22"/>
    </row>
    <row r="263">
      <c r="A263" s="22"/>
      <c r="B263" s="22"/>
      <c r="C263" s="22"/>
      <c r="D263" s="22"/>
      <c r="E263" s="22"/>
      <c r="F263" s="23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3"/>
      <c r="AF263" s="24"/>
      <c r="AG263" s="24"/>
      <c r="AH263" s="24"/>
      <c r="AI263" s="24"/>
      <c r="AJ263" s="22"/>
      <c r="AK263" s="22"/>
    </row>
    <row r="264">
      <c r="A264" s="22"/>
      <c r="B264" s="22"/>
      <c r="C264" s="22"/>
      <c r="D264" s="22"/>
      <c r="E264" s="22"/>
      <c r="F264" s="23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3"/>
      <c r="AF264" s="24"/>
      <c r="AG264" s="24"/>
      <c r="AH264" s="24"/>
      <c r="AI264" s="24"/>
      <c r="AJ264" s="22"/>
      <c r="AK264" s="22"/>
    </row>
    <row r="265">
      <c r="A265" s="22"/>
      <c r="B265" s="22"/>
      <c r="C265" s="22"/>
      <c r="D265" s="22"/>
      <c r="E265" s="22"/>
      <c r="F265" s="23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3"/>
      <c r="AF265" s="24"/>
      <c r="AG265" s="24"/>
      <c r="AH265" s="24"/>
      <c r="AI265" s="24"/>
      <c r="AJ265" s="22"/>
      <c r="AK265" s="22"/>
    </row>
    <row r="266">
      <c r="A266" s="22"/>
      <c r="B266" s="22"/>
      <c r="C266" s="22"/>
      <c r="D266" s="22"/>
      <c r="E266" s="22"/>
      <c r="F266" s="23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3"/>
      <c r="AF266" s="24"/>
      <c r="AG266" s="24"/>
      <c r="AH266" s="24"/>
      <c r="AI266" s="24"/>
      <c r="AJ266" s="22"/>
      <c r="AK266" s="22"/>
    </row>
    <row r="267">
      <c r="A267" s="22"/>
      <c r="B267" s="22"/>
      <c r="C267" s="22"/>
      <c r="D267" s="22"/>
      <c r="E267" s="22"/>
      <c r="F267" s="23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3"/>
      <c r="AF267" s="24"/>
      <c r="AG267" s="24"/>
      <c r="AH267" s="24"/>
      <c r="AI267" s="24"/>
      <c r="AJ267" s="22"/>
      <c r="AK267" s="22"/>
    </row>
    <row r="268">
      <c r="A268" s="22"/>
      <c r="B268" s="22"/>
      <c r="C268" s="22"/>
      <c r="D268" s="22"/>
      <c r="E268" s="22"/>
      <c r="F268" s="23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3"/>
      <c r="AF268" s="24"/>
      <c r="AG268" s="24"/>
      <c r="AH268" s="24"/>
      <c r="AI268" s="24"/>
      <c r="AJ268" s="22"/>
      <c r="AK268" s="22"/>
    </row>
    <row r="269">
      <c r="A269" s="22"/>
      <c r="B269" s="22"/>
      <c r="C269" s="22"/>
      <c r="D269" s="22"/>
      <c r="E269" s="22"/>
      <c r="F269" s="23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3"/>
      <c r="AF269" s="24"/>
      <c r="AG269" s="24"/>
      <c r="AH269" s="24"/>
      <c r="AI269" s="24"/>
      <c r="AJ269" s="22"/>
      <c r="AK269" s="22"/>
    </row>
    <row r="270">
      <c r="A270" s="22"/>
      <c r="B270" s="22"/>
      <c r="C270" s="22"/>
      <c r="D270" s="22"/>
      <c r="E270" s="22"/>
      <c r="F270" s="23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3"/>
      <c r="AF270" s="24"/>
      <c r="AG270" s="24"/>
      <c r="AH270" s="24"/>
      <c r="AI270" s="24"/>
      <c r="AJ270" s="22"/>
      <c r="AK270" s="22"/>
    </row>
    <row r="271">
      <c r="A271" s="22"/>
      <c r="B271" s="22"/>
      <c r="C271" s="22"/>
      <c r="D271" s="22"/>
      <c r="E271" s="22"/>
      <c r="F271" s="23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3"/>
      <c r="AF271" s="24"/>
      <c r="AG271" s="24"/>
      <c r="AH271" s="24"/>
      <c r="AI271" s="24"/>
      <c r="AJ271" s="22"/>
      <c r="AK271" s="22"/>
    </row>
    <row r="272">
      <c r="A272" s="22"/>
      <c r="B272" s="22"/>
      <c r="C272" s="22"/>
      <c r="D272" s="22"/>
      <c r="E272" s="22"/>
      <c r="F272" s="23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3"/>
      <c r="AF272" s="24"/>
      <c r="AG272" s="24"/>
      <c r="AH272" s="24"/>
      <c r="AI272" s="24"/>
      <c r="AJ272" s="22"/>
      <c r="AK272" s="22"/>
    </row>
    <row r="273">
      <c r="A273" s="22"/>
      <c r="B273" s="22"/>
      <c r="C273" s="22"/>
      <c r="D273" s="22"/>
      <c r="E273" s="22"/>
      <c r="F273" s="23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3"/>
      <c r="AF273" s="24"/>
      <c r="AG273" s="24"/>
      <c r="AH273" s="24"/>
      <c r="AI273" s="24"/>
      <c r="AJ273" s="22"/>
      <c r="AK273" s="22"/>
    </row>
    <row r="274">
      <c r="A274" s="22"/>
      <c r="B274" s="22"/>
      <c r="C274" s="22"/>
      <c r="D274" s="22"/>
      <c r="E274" s="22"/>
      <c r="F274" s="23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3"/>
      <c r="AF274" s="24"/>
      <c r="AG274" s="24"/>
      <c r="AH274" s="24"/>
      <c r="AI274" s="24"/>
      <c r="AJ274" s="22"/>
      <c r="AK274" s="22"/>
    </row>
    <row r="275">
      <c r="A275" s="22"/>
      <c r="B275" s="22"/>
      <c r="C275" s="22"/>
      <c r="D275" s="22"/>
      <c r="E275" s="22"/>
      <c r="F275" s="23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3"/>
      <c r="AF275" s="24"/>
      <c r="AG275" s="24"/>
      <c r="AH275" s="24"/>
      <c r="AI275" s="24"/>
      <c r="AJ275" s="22"/>
      <c r="AK275" s="22"/>
    </row>
    <row r="276">
      <c r="A276" s="22"/>
      <c r="B276" s="22"/>
      <c r="C276" s="22"/>
      <c r="D276" s="22"/>
      <c r="E276" s="22"/>
      <c r="F276" s="23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3"/>
      <c r="AF276" s="24"/>
      <c r="AG276" s="24"/>
      <c r="AH276" s="24"/>
      <c r="AI276" s="24"/>
      <c r="AJ276" s="22"/>
      <c r="AK276" s="22"/>
    </row>
    <row r="277">
      <c r="A277" s="22"/>
      <c r="B277" s="22"/>
      <c r="C277" s="22"/>
      <c r="D277" s="22"/>
      <c r="E277" s="22"/>
      <c r="F277" s="23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3"/>
      <c r="AF277" s="24"/>
      <c r="AG277" s="24"/>
      <c r="AH277" s="24"/>
      <c r="AI277" s="24"/>
      <c r="AJ277" s="22"/>
      <c r="AK277" s="22"/>
    </row>
    <row r="278">
      <c r="A278" s="22"/>
      <c r="B278" s="22"/>
      <c r="C278" s="22"/>
      <c r="D278" s="22"/>
      <c r="E278" s="22"/>
      <c r="F278" s="23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3"/>
      <c r="AF278" s="24"/>
      <c r="AG278" s="24"/>
      <c r="AH278" s="24"/>
      <c r="AI278" s="24"/>
      <c r="AJ278" s="22"/>
      <c r="AK278" s="22"/>
    </row>
    <row r="279">
      <c r="A279" s="22"/>
      <c r="B279" s="22"/>
      <c r="C279" s="22"/>
      <c r="D279" s="22"/>
      <c r="E279" s="22"/>
      <c r="F279" s="23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3"/>
      <c r="AF279" s="24"/>
      <c r="AG279" s="24"/>
      <c r="AH279" s="24"/>
      <c r="AI279" s="24"/>
      <c r="AJ279" s="22"/>
      <c r="AK279" s="22"/>
    </row>
    <row r="280">
      <c r="A280" s="22"/>
      <c r="B280" s="22"/>
      <c r="C280" s="22"/>
      <c r="D280" s="22"/>
      <c r="E280" s="22"/>
      <c r="F280" s="23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3"/>
      <c r="AF280" s="24"/>
      <c r="AG280" s="24"/>
      <c r="AH280" s="24"/>
      <c r="AI280" s="24"/>
      <c r="AJ280" s="22"/>
      <c r="AK280" s="22"/>
    </row>
    <row r="281">
      <c r="A281" s="22"/>
      <c r="B281" s="22"/>
      <c r="C281" s="22"/>
      <c r="D281" s="22"/>
      <c r="E281" s="22"/>
      <c r="F281" s="23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3"/>
      <c r="AF281" s="24"/>
      <c r="AG281" s="24"/>
      <c r="AH281" s="24"/>
      <c r="AI281" s="24"/>
      <c r="AJ281" s="22"/>
      <c r="AK281" s="22"/>
    </row>
    <row r="282">
      <c r="A282" s="22"/>
      <c r="B282" s="22"/>
      <c r="C282" s="22"/>
      <c r="D282" s="22"/>
      <c r="E282" s="22"/>
      <c r="F282" s="23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3"/>
      <c r="AF282" s="24"/>
      <c r="AG282" s="24"/>
      <c r="AH282" s="24"/>
      <c r="AI282" s="24"/>
      <c r="AJ282" s="22"/>
      <c r="AK282" s="22"/>
    </row>
    <row r="283">
      <c r="A283" s="22"/>
      <c r="B283" s="22"/>
      <c r="C283" s="22"/>
      <c r="D283" s="22"/>
      <c r="E283" s="22"/>
      <c r="F283" s="23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3"/>
      <c r="AF283" s="24"/>
      <c r="AG283" s="24"/>
      <c r="AH283" s="24"/>
      <c r="AI283" s="24"/>
      <c r="AJ283" s="22"/>
      <c r="AK283" s="22"/>
    </row>
    <row r="284">
      <c r="A284" s="22"/>
      <c r="B284" s="22"/>
      <c r="C284" s="22"/>
      <c r="D284" s="22"/>
      <c r="E284" s="22"/>
      <c r="F284" s="23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3"/>
      <c r="AF284" s="24"/>
      <c r="AG284" s="24"/>
      <c r="AH284" s="24"/>
      <c r="AI284" s="24"/>
      <c r="AJ284" s="22"/>
      <c r="AK284" s="22"/>
    </row>
    <row r="285">
      <c r="A285" s="22"/>
      <c r="B285" s="22"/>
      <c r="C285" s="22"/>
      <c r="D285" s="22"/>
      <c r="E285" s="22"/>
      <c r="F285" s="23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3"/>
      <c r="AF285" s="24"/>
      <c r="AG285" s="24"/>
      <c r="AH285" s="24"/>
      <c r="AI285" s="24"/>
      <c r="AJ285" s="22"/>
      <c r="AK285" s="22"/>
    </row>
    <row r="286">
      <c r="A286" s="22"/>
      <c r="B286" s="22"/>
      <c r="C286" s="22"/>
      <c r="D286" s="22"/>
      <c r="E286" s="22"/>
      <c r="F286" s="23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3"/>
      <c r="AF286" s="24"/>
      <c r="AG286" s="24"/>
      <c r="AH286" s="24"/>
      <c r="AI286" s="24"/>
      <c r="AJ286" s="22"/>
      <c r="AK286" s="22"/>
    </row>
    <row r="287">
      <c r="A287" s="22"/>
      <c r="B287" s="22"/>
      <c r="C287" s="22"/>
      <c r="D287" s="22"/>
      <c r="E287" s="22"/>
      <c r="F287" s="23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3"/>
      <c r="AF287" s="24"/>
      <c r="AG287" s="24"/>
      <c r="AH287" s="24"/>
      <c r="AI287" s="24"/>
      <c r="AJ287" s="22"/>
      <c r="AK287" s="22"/>
    </row>
    <row r="288">
      <c r="A288" s="22"/>
      <c r="B288" s="22"/>
      <c r="C288" s="22"/>
      <c r="D288" s="22"/>
      <c r="E288" s="22"/>
      <c r="F288" s="23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3"/>
      <c r="AF288" s="24"/>
      <c r="AG288" s="24"/>
      <c r="AH288" s="24"/>
      <c r="AI288" s="24"/>
      <c r="AJ288" s="22"/>
      <c r="AK288" s="22"/>
    </row>
    <row r="289">
      <c r="A289" s="22"/>
      <c r="B289" s="22"/>
      <c r="C289" s="22"/>
      <c r="D289" s="22"/>
      <c r="E289" s="22"/>
      <c r="F289" s="23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3"/>
      <c r="AF289" s="24"/>
      <c r="AG289" s="24"/>
      <c r="AH289" s="24"/>
      <c r="AI289" s="24"/>
      <c r="AJ289" s="22"/>
      <c r="AK289" s="22"/>
    </row>
    <row r="290">
      <c r="A290" s="22"/>
      <c r="B290" s="22"/>
      <c r="C290" s="22"/>
      <c r="D290" s="22"/>
      <c r="E290" s="22"/>
      <c r="F290" s="23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3"/>
      <c r="AF290" s="24"/>
      <c r="AG290" s="24"/>
      <c r="AH290" s="24"/>
      <c r="AI290" s="24"/>
      <c r="AJ290" s="22"/>
      <c r="AK290" s="22"/>
    </row>
    <row r="291">
      <c r="A291" s="22"/>
      <c r="B291" s="22"/>
      <c r="C291" s="22"/>
      <c r="D291" s="22"/>
      <c r="E291" s="22"/>
      <c r="F291" s="23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3"/>
      <c r="AF291" s="24"/>
      <c r="AG291" s="24"/>
      <c r="AH291" s="24"/>
      <c r="AI291" s="24"/>
      <c r="AJ291" s="22"/>
      <c r="AK291" s="22"/>
    </row>
    <row r="292">
      <c r="A292" s="22"/>
      <c r="B292" s="22"/>
      <c r="C292" s="22"/>
      <c r="D292" s="22"/>
      <c r="E292" s="22"/>
      <c r="F292" s="23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3"/>
      <c r="AF292" s="24"/>
      <c r="AG292" s="24"/>
      <c r="AH292" s="24"/>
      <c r="AI292" s="24"/>
      <c r="AJ292" s="22"/>
      <c r="AK292" s="22"/>
    </row>
    <row r="293">
      <c r="A293" s="22"/>
      <c r="B293" s="22"/>
      <c r="C293" s="22"/>
      <c r="D293" s="22"/>
      <c r="E293" s="22"/>
      <c r="F293" s="23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3"/>
      <c r="AF293" s="24"/>
      <c r="AG293" s="24"/>
      <c r="AH293" s="24"/>
      <c r="AI293" s="24"/>
      <c r="AJ293" s="22"/>
      <c r="AK293" s="22"/>
    </row>
    <row r="294">
      <c r="A294" s="22"/>
      <c r="B294" s="22"/>
      <c r="C294" s="22"/>
      <c r="D294" s="22"/>
      <c r="E294" s="22"/>
      <c r="F294" s="23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3"/>
      <c r="AF294" s="24"/>
      <c r="AG294" s="24"/>
      <c r="AH294" s="24"/>
      <c r="AI294" s="24"/>
      <c r="AJ294" s="22"/>
      <c r="AK294" s="22"/>
    </row>
    <row r="295">
      <c r="A295" s="22"/>
      <c r="B295" s="22"/>
      <c r="C295" s="22"/>
      <c r="D295" s="22"/>
      <c r="E295" s="22"/>
      <c r="F295" s="23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3"/>
      <c r="AF295" s="24"/>
      <c r="AG295" s="24"/>
      <c r="AH295" s="24"/>
      <c r="AI295" s="24"/>
      <c r="AJ295" s="22"/>
      <c r="AK295" s="22"/>
    </row>
    <row r="296">
      <c r="A296" s="22"/>
      <c r="B296" s="22"/>
      <c r="C296" s="22"/>
      <c r="D296" s="22"/>
      <c r="E296" s="22"/>
      <c r="F296" s="23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3"/>
      <c r="AF296" s="24"/>
      <c r="AG296" s="24"/>
      <c r="AH296" s="24"/>
      <c r="AI296" s="24"/>
      <c r="AJ296" s="22"/>
      <c r="AK296" s="22"/>
    </row>
    <row r="297">
      <c r="A297" s="22"/>
      <c r="B297" s="22"/>
      <c r="C297" s="22"/>
      <c r="D297" s="22"/>
      <c r="E297" s="22"/>
      <c r="F297" s="23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3"/>
      <c r="AF297" s="24"/>
      <c r="AG297" s="24"/>
      <c r="AH297" s="24"/>
      <c r="AI297" s="24"/>
      <c r="AJ297" s="22"/>
      <c r="AK297" s="22"/>
    </row>
    <row r="298">
      <c r="A298" s="22"/>
      <c r="B298" s="22"/>
      <c r="C298" s="22"/>
      <c r="D298" s="22"/>
      <c r="E298" s="22"/>
      <c r="F298" s="23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3"/>
      <c r="AF298" s="24"/>
      <c r="AG298" s="24"/>
      <c r="AH298" s="24"/>
      <c r="AI298" s="24"/>
      <c r="AJ298" s="22"/>
      <c r="AK298" s="22"/>
    </row>
    <row r="299">
      <c r="A299" s="22"/>
      <c r="B299" s="22"/>
      <c r="C299" s="22"/>
      <c r="D299" s="22"/>
      <c r="E299" s="22"/>
      <c r="F299" s="23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3"/>
      <c r="AF299" s="24"/>
      <c r="AG299" s="24"/>
      <c r="AH299" s="24"/>
      <c r="AI299" s="24"/>
      <c r="AJ299" s="22"/>
      <c r="AK299" s="22"/>
    </row>
    <row r="300">
      <c r="A300" s="22"/>
      <c r="B300" s="22"/>
      <c r="C300" s="22"/>
      <c r="D300" s="22"/>
      <c r="E300" s="22"/>
      <c r="F300" s="23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3"/>
      <c r="AF300" s="24"/>
      <c r="AG300" s="24"/>
      <c r="AH300" s="24"/>
      <c r="AI300" s="24"/>
      <c r="AJ300" s="22"/>
      <c r="AK300" s="22"/>
    </row>
    <row r="301">
      <c r="A301" s="22"/>
      <c r="B301" s="22"/>
      <c r="C301" s="22"/>
      <c r="D301" s="22"/>
      <c r="E301" s="22"/>
      <c r="F301" s="23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3"/>
      <c r="AF301" s="24"/>
      <c r="AG301" s="24"/>
      <c r="AH301" s="24"/>
      <c r="AI301" s="24"/>
      <c r="AJ301" s="22"/>
      <c r="AK301" s="22"/>
    </row>
    <row r="302">
      <c r="A302" s="22"/>
      <c r="B302" s="22"/>
      <c r="C302" s="22"/>
      <c r="D302" s="22"/>
      <c r="E302" s="22"/>
      <c r="F302" s="23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3"/>
      <c r="AF302" s="24"/>
      <c r="AG302" s="24"/>
      <c r="AH302" s="24"/>
      <c r="AI302" s="24"/>
      <c r="AJ302" s="22"/>
      <c r="AK302" s="22"/>
    </row>
    <row r="303">
      <c r="A303" s="22"/>
      <c r="B303" s="22"/>
      <c r="C303" s="22"/>
      <c r="D303" s="22"/>
      <c r="E303" s="22"/>
      <c r="F303" s="23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3"/>
      <c r="AF303" s="24"/>
      <c r="AG303" s="24"/>
      <c r="AH303" s="24"/>
      <c r="AI303" s="24"/>
      <c r="AJ303" s="22"/>
      <c r="AK303" s="22"/>
    </row>
    <row r="304">
      <c r="A304" s="22"/>
      <c r="B304" s="22"/>
      <c r="C304" s="22"/>
      <c r="D304" s="22"/>
      <c r="E304" s="22"/>
      <c r="F304" s="23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3"/>
      <c r="AF304" s="24"/>
      <c r="AG304" s="24"/>
      <c r="AH304" s="24"/>
      <c r="AI304" s="24"/>
      <c r="AJ304" s="22"/>
      <c r="AK304" s="22"/>
    </row>
    <row r="305">
      <c r="A305" s="22"/>
      <c r="B305" s="22"/>
      <c r="C305" s="22"/>
      <c r="D305" s="22"/>
      <c r="E305" s="22"/>
      <c r="F305" s="23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3"/>
      <c r="AF305" s="24"/>
      <c r="AG305" s="24"/>
      <c r="AH305" s="24"/>
      <c r="AI305" s="24"/>
      <c r="AJ305" s="22"/>
      <c r="AK305" s="22"/>
    </row>
    <row r="306">
      <c r="A306" s="22"/>
      <c r="B306" s="22"/>
      <c r="C306" s="22"/>
      <c r="D306" s="22"/>
      <c r="E306" s="22"/>
      <c r="F306" s="23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3"/>
      <c r="AF306" s="24"/>
      <c r="AG306" s="24"/>
      <c r="AH306" s="24"/>
      <c r="AI306" s="24"/>
      <c r="AJ306" s="22"/>
      <c r="AK306" s="22"/>
    </row>
    <row r="307">
      <c r="A307" s="22"/>
      <c r="B307" s="22"/>
      <c r="C307" s="22"/>
      <c r="D307" s="22"/>
      <c r="E307" s="22"/>
      <c r="F307" s="23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3"/>
      <c r="AF307" s="24"/>
      <c r="AG307" s="24"/>
      <c r="AH307" s="24"/>
      <c r="AI307" s="24"/>
      <c r="AJ307" s="22"/>
      <c r="AK307" s="22"/>
    </row>
    <row r="308">
      <c r="A308" s="22"/>
      <c r="B308" s="22"/>
      <c r="C308" s="22"/>
      <c r="D308" s="22"/>
      <c r="E308" s="22"/>
      <c r="F308" s="23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3"/>
      <c r="AF308" s="24"/>
      <c r="AG308" s="24"/>
      <c r="AH308" s="24"/>
      <c r="AI308" s="24"/>
      <c r="AJ308" s="22"/>
      <c r="AK308" s="22"/>
    </row>
    <row r="309">
      <c r="A309" s="22"/>
      <c r="B309" s="22"/>
      <c r="C309" s="22"/>
      <c r="D309" s="22"/>
      <c r="E309" s="22"/>
      <c r="F309" s="23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3"/>
      <c r="AF309" s="24"/>
      <c r="AG309" s="24"/>
      <c r="AH309" s="24"/>
      <c r="AI309" s="24"/>
      <c r="AJ309" s="22"/>
      <c r="AK309" s="22"/>
    </row>
    <row r="310">
      <c r="A310" s="22"/>
      <c r="B310" s="22"/>
      <c r="C310" s="22"/>
      <c r="D310" s="22"/>
      <c r="E310" s="22"/>
      <c r="F310" s="23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3"/>
      <c r="AF310" s="24"/>
      <c r="AG310" s="24"/>
      <c r="AH310" s="24"/>
      <c r="AI310" s="24"/>
      <c r="AJ310" s="22"/>
      <c r="AK310" s="22"/>
    </row>
    <row r="311">
      <c r="A311" s="22"/>
      <c r="B311" s="22"/>
      <c r="C311" s="22"/>
      <c r="D311" s="22"/>
      <c r="E311" s="22"/>
      <c r="F311" s="23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3"/>
      <c r="AF311" s="24"/>
      <c r="AG311" s="24"/>
      <c r="AH311" s="24"/>
      <c r="AI311" s="24"/>
      <c r="AJ311" s="22"/>
      <c r="AK311" s="22"/>
    </row>
    <row r="312">
      <c r="A312" s="22"/>
      <c r="B312" s="22"/>
      <c r="C312" s="22"/>
      <c r="D312" s="22"/>
      <c r="E312" s="22"/>
      <c r="F312" s="23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3"/>
      <c r="AF312" s="24"/>
      <c r="AG312" s="24"/>
      <c r="AH312" s="24"/>
      <c r="AI312" s="24"/>
      <c r="AJ312" s="22"/>
      <c r="AK312" s="22"/>
    </row>
    <row r="313">
      <c r="A313" s="22"/>
      <c r="B313" s="22"/>
      <c r="C313" s="22"/>
      <c r="D313" s="22"/>
      <c r="E313" s="22"/>
      <c r="F313" s="23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3"/>
      <c r="AF313" s="24"/>
      <c r="AG313" s="24"/>
      <c r="AH313" s="24"/>
      <c r="AI313" s="24"/>
      <c r="AJ313" s="22"/>
      <c r="AK313" s="22"/>
    </row>
    <row r="314">
      <c r="A314" s="22"/>
      <c r="B314" s="22"/>
      <c r="C314" s="22"/>
      <c r="D314" s="22"/>
      <c r="E314" s="22"/>
      <c r="F314" s="23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3"/>
      <c r="AF314" s="24"/>
      <c r="AG314" s="24"/>
      <c r="AH314" s="24"/>
      <c r="AI314" s="24"/>
      <c r="AJ314" s="22"/>
      <c r="AK314" s="22"/>
    </row>
    <row r="315">
      <c r="A315" s="22"/>
      <c r="B315" s="22"/>
      <c r="C315" s="22"/>
      <c r="D315" s="22"/>
      <c r="E315" s="22"/>
      <c r="F315" s="23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3"/>
      <c r="AF315" s="24"/>
      <c r="AG315" s="24"/>
      <c r="AH315" s="24"/>
      <c r="AI315" s="24"/>
      <c r="AJ315" s="22"/>
      <c r="AK315" s="22"/>
    </row>
    <row r="316">
      <c r="A316" s="22"/>
      <c r="B316" s="22"/>
      <c r="C316" s="22"/>
      <c r="D316" s="22"/>
      <c r="E316" s="22"/>
      <c r="F316" s="23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3"/>
      <c r="AF316" s="24"/>
      <c r="AG316" s="24"/>
      <c r="AH316" s="24"/>
      <c r="AI316" s="24"/>
      <c r="AJ316" s="22"/>
      <c r="AK316" s="22"/>
    </row>
    <row r="317">
      <c r="A317" s="22"/>
      <c r="B317" s="22"/>
      <c r="C317" s="22"/>
      <c r="D317" s="22"/>
      <c r="E317" s="22"/>
      <c r="F317" s="23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3"/>
      <c r="AF317" s="24"/>
      <c r="AG317" s="24"/>
      <c r="AH317" s="24"/>
      <c r="AI317" s="24"/>
      <c r="AJ317" s="22"/>
      <c r="AK317" s="22"/>
    </row>
    <row r="318">
      <c r="A318" s="22"/>
      <c r="B318" s="22"/>
      <c r="C318" s="22"/>
      <c r="D318" s="22"/>
      <c r="E318" s="22"/>
      <c r="F318" s="23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3"/>
      <c r="AF318" s="24"/>
      <c r="AG318" s="24"/>
      <c r="AH318" s="24"/>
      <c r="AI318" s="24"/>
      <c r="AJ318" s="22"/>
      <c r="AK318" s="22"/>
    </row>
    <row r="319">
      <c r="A319" s="22"/>
      <c r="B319" s="22"/>
      <c r="C319" s="22"/>
      <c r="D319" s="22"/>
      <c r="E319" s="22"/>
      <c r="F319" s="23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3"/>
      <c r="AF319" s="24"/>
      <c r="AG319" s="24"/>
      <c r="AH319" s="24"/>
      <c r="AI319" s="24"/>
      <c r="AJ319" s="22"/>
      <c r="AK319" s="22"/>
    </row>
    <row r="320">
      <c r="A320" s="22"/>
      <c r="B320" s="22"/>
      <c r="C320" s="22"/>
      <c r="D320" s="22"/>
      <c r="E320" s="22"/>
      <c r="F320" s="23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3"/>
      <c r="AF320" s="24"/>
      <c r="AG320" s="24"/>
      <c r="AH320" s="24"/>
      <c r="AI320" s="24"/>
      <c r="AJ320" s="22"/>
      <c r="AK320" s="22"/>
    </row>
    <row r="321">
      <c r="A321" s="22"/>
      <c r="B321" s="22"/>
      <c r="C321" s="22"/>
      <c r="D321" s="22"/>
      <c r="E321" s="22"/>
      <c r="F321" s="23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3"/>
      <c r="AF321" s="24"/>
      <c r="AG321" s="24"/>
      <c r="AH321" s="24"/>
      <c r="AI321" s="24"/>
      <c r="AJ321" s="22"/>
      <c r="AK321" s="22"/>
    </row>
    <row r="322">
      <c r="A322" s="22"/>
      <c r="B322" s="22"/>
      <c r="C322" s="22"/>
      <c r="D322" s="22"/>
      <c r="E322" s="22"/>
      <c r="F322" s="23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3"/>
      <c r="AF322" s="24"/>
      <c r="AG322" s="24"/>
      <c r="AH322" s="24"/>
      <c r="AI322" s="24"/>
      <c r="AJ322" s="22"/>
      <c r="AK322" s="22"/>
    </row>
    <row r="323">
      <c r="A323" s="22"/>
      <c r="B323" s="22"/>
      <c r="C323" s="22"/>
      <c r="D323" s="22"/>
      <c r="E323" s="22"/>
      <c r="F323" s="23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3"/>
      <c r="AF323" s="24"/>
      <c r="AG323" s="24"/>
      <c r="AH323" s="24"/>
      <c r="AI323" s="24"/>
      <c r="AJ323" s="22"/>
      <c r="AK323" s="22"/>
    </row>
    <row r="324">
      <c r="A324" s="22"/>
      <c r="B324" s="22"/>
      <c r="C324" s="22"/>
      <c r="D324" s="22"/>
      <c r="E324" s="22"/>
      <c r="F324" s="23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3"/>
      <c r="AF324" s="24"/>
      <c r="AG324" s="24"/>
      <c r="AH324" s="24"/>
      <c r="AI324" s="24"/>
      <c r="AJ324" s="22"/>
      <c r="AK324" s="22"/>
    </row>
    <row r="325">
      <c r="A325" s="22"/>
      <c r="B325" s="22"/>
      <c r="C325" s="22"/>
      <c r="D325" s="22"/>
      <c r="E325" s="22"/>
      <c r="F325" s="23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3"/>
      <c r="AF325" s="24"/>
      <c r="AG325" s="24"/>
      <c r="AH325" s="24"/>
      <c r="AI325" s="24"/>
      <c r="AJ325" s="22"/>
      <c r="AK325" s="22"/>
    </row>
    <row r="326">
      <c r="A326" s="22"/>
      <c r="B326" s="22"/>
      <c r="C326" s="22"/>
      <c r="D326" s="22"/>
      <c r="E326" s="22"/>
      <c r="F326" s="23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3"/>
      <c r="AF326" s="24"/>
      <c r="AG326" s="24"/>
      <c r="AH326" s="24"/>
      <c r="AI326" s="24"/>
      <c r="AJ326" s="22"/>
      <c r="AK326" s="22"/>
    </row>
    <row r="327">
      <c r="A327" s="22"/>
      <c r="B327" s="22"/>
      <c r="C327" s="22"/>
      <c r="D327" s="22"/>
      <c r="E327" s="22"/>
      <c r="F327" s="23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3"/>
      <c r="AF327" s="24"/>
      <c r="AG327" s="24"/>
      <c r="AH327" s="24"/>
      <c r="AI327" s="24"/>
      <c r="AJ327" s="22"/>
      <c r="AK327" s="22"/>
    </row>
    <row r="328">
      <c r="A328" s="22"/>
      <c r="B328" s="22"/>
      <c r="C328" s="22"/>
      <c r="D328" s="22"/>
      <c r="E328" s="22"/>
      <c r="F328" s="23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3"/>
      <c r="AF328" s="24"/>
      <c r="AG328" s="24"/>
      <c r="AH328" s="24"/>
      <c r="AI328" s="24"/>
      <c r="AJ328" s="22"/>
      <c r="AK328" s="22"/>
    </row>
    <row r="329">
      <c r="A329" s="22"/>
      <c r="B329" s="22"/>
      <c r="C329" s="22"/>
      <c r="D329" s="22"/>
      <c r="E329" s="22"/>
      <c r="F329" s="23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3"/>
      <c r="AF329" s="24"/>
      <c r="AG329" s="24"/>
      <c r="AH329" s="24"/>
      <c r="AI329" s="24"/>
      <c r="AJ329" s="22"/>
      <c r="AK329" s="22"/>
    </row>
    <row r="330">
      <c r="A330" s="22"/>
      <c r="B330" s="22"/>
      <c r="C330" s="22"/>
      <c r="D330" s="22"/>
      <c r="E330" s="22"/>
      <c r="F330" s="23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3"/>
      <c r="AF330" s="24"/>
      <c r="AG330" s="24"/>
      <c r="AH330" s="24"/>
      <c r="AI330" s="24"/>
      <c r="AJ330" s="22"/>
      <c r="AK330" s="22"/>
    </row>
    <row r="331">
      <c r="A331" s="22"/>
      <c r="B331" s="22"/>
      <c r="C331" s="22"/>
      <c r="D331" s="22"/>
      <c r="E331" s="22"/>
      <c r="F331" s="23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3"/>
      <c r="AF331" s="24"/>
      <c r="AG331" s="24"/>
      <c r="AH331" s="24"/>
      <c r="AI331" s="24"/>
      <c r="AJ331" s="22"/>
      <c r="AK331" s="22"/>
    </row>
    <row r="332">
      <c r="A332" s="22"/>
      <c r="B332" s="22"/>
      <c r="C332" s="22"/>
      <c r="D332" s="22"/>
      <c r="E332" s="22"/>
      <c r="F332" s="23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3"/>
      <c r="AF332" s="24"/>
      <c r="AG332" s="24"/>
      <c r="AH332" s="24"/>
      <c r="AI332" s="24"/>
      <c r="AJ332" s="22"/>
      <c r="AK332" s="22"/>
    </row>
    <row r="333">
      <c r="A333" s="22"/>
      <c r="B333" s="22"/>
      <c r="C333" s="22"/>
      <c r="D333" s="22"/>
      <c r="E333" s="22"/>
      <c r="F333" s="23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3"/>
      <c r="AF333" s="24"/>
      <c r="AG333" s="24"/>
      <c r="AH333" s="24"/>
      <c r="AI333" s="24"/>
      <c r="AJ333" s="22"/>
      <c r="AK333" s="22"/>
    </row>
    <row r="334">
      <c r="A334" s="22"/>
      <c r="B334" s="22"/>
      <c r="C334" s="22"/>
      <c r="D334" s="22"/>
      <c r="E334" s="22"/>
      <c r="F334" s="23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3"/>
      <c r="AF334" s="24"/>
      <c r="AG334" s="24"/>
      <c r="AH334" s="24"/>
      <c r="AI334" s="24"/>
      <c r="AJ334" s="22"/>
      <c r="AK334" s="22"/>
    </row>
    <row r="335">
      <c r="A335" s="22"/>
      <c r="B335" s="22"/>
      <c r="C335" s="22"/>
      <c r="D335" s="22"/>
      <c r="E335" s="22"/>
      <c r="F335" s="23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3"/>
      <c r="AF335" s="24"/>
      <c r="AG335" s="24"/>
      <c r="AH335" s="24"/>
      <c r="AI335" s="24"/>
      <c r="AJ335" s="22"/>
      <c r="AK335" s="22"/>
    </row>
    <row r="336">
      <c r="A336" s="22"/>
      <c r="B336" s="22"/>
      <c r="C336" s="22"/>
      <c r="D336" s="22"/>
      <c r="E336" s="22"/>
      <c r="F336" s="23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3"/>
      <c r="AF336" s="24"/>
      <c r="AG336" s="24"/>
      <c r="AH336" s="24"/>
      <c r="AI336" s="24"/>
      <c r="AJ336" s="22"/>
      <c r="AK336" s="22"/>
    </row>
    <row r="337">
      <c r="A337" s="22"/>
      <c r="B337" s="22"/>
      <c r="C337" s="22"/>
      <c r="D337" s="22"/>
      <c r="E337" s="22"/>
      <c r="F337" s="23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3"/>
      <c r="AF337" s="24"/>
      <c r="AG337" s="24"/>
      <c r="AH337" s="24"/>
      <c r="AI337" s="24"/>
      <c r="AJ337" s="22"/>
      <c r="AK337" s="22"/>
    </row>
    <row r="338">
      <c r="A338" s="22"/>
      <c r="B338" s="22"/>
      <c r="C338" s="22"/>
      <c r="D338" s="22"/>
      <c r="E338" s="22"/>
      <c r="F338" s="23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3"/>
      <c r="AF338" s="24"/>
      <c r="AG338" s="24"/>
      <c r="AH338" s="24"/>
      <c r="AI338" s="24"/>
      <c r="AJ338" s="22"/>
      <c r="AK338" s="22"/>
    </row>
    <row r="339">
      <c r="A339" s="22"/>
      <c r="B339" s="22"/>
      <c r="C339" s="22"/>
      <c r="D339" s="22"/>
      <c r="E339" s="22"/>
      <c r="F339" s="23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3"/>
      <c r="AF339" s="24"/>
      <c r="AG339" s="24"/>
      <c r="AH339" s="24"/>
      <c r="AI339" s="24"/>
      <c r="AJ339" s="22"/>
      <c r="AK339" s="22"/>
    </row>
    <row r="340">
      <c r="A340" s="22"/>
      <c r="B340" s="22"/>
      <c r="C340" s="22"/>
      <c r="D340" s="22"/>
      <c r="E340" s="22"/>
      <c r="F340" s="23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3"/>
      <c r="AF340" s="24"/>
      <c r="AG340" s="24"/>
      <c r="AH340" s="24"/>
      <c r="AI340" s="24"/>
      <c r="AJ340" s="22"/>
      <c r="AK340" s="22"/>
    </row>
    <row r="341">
      <c r="A341" s="22"/>
      <c r="B341" s="22"/>
      <c r="C341" s="22"/>
      <c r="D341" s="22"/>
      <c r="E341" s="22"/>
      <c r="F341" s="23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3"/>
      <c r="AF341" s="24"/>
      <c r="AG341" s="24"/>
      <c r="AH341" s="24"/>
      <c r="AI341" s="24"/>
      <c r="AJ341" s="22"/>
      <c r="AK341" s="22"/>
    </row>
    <row r="342">
      <c r="A342" s="22"/>
      <c r="B342" s="22"/>
      <c r="C342" s="22"/>
      <c r="D342" s="22"/>
      <c r="E342" s="22"/>
      <c r="F342" s="23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3"/>
      <c r="AF342" s="24"/>
      <c r="AG342" s="24"/>
      <c r="AH342" s="24"/>
      <c r="AI342" s="24"/>
      <c r="AJ342" s="22"/>
      <c r="AK342" s="22"/>
    </row>
    <row r="343">
      <c r="A343" s="22"/>
      <c r="B343" s="22"/>
      <c r="C343" s="22"/>
      <c r="D343" s="22"/>
      <c r="E343" s="22"/>
      <c r="F343" s="23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3"/>
      <c r="AF343" s="24"/>
      <c r="AG343" s="24"/>
      <c r="AH343" s="24"/>
      <c r="AI343" s="24"/>
      <c r="AJ343" s="22"/>
      <c r="AK343" s="22"/>
    </row>
    <row r="344">
      <c r="A344" s="22"/>
      <c r="B344" s="22"/>
      <c r="C344" s="22"/>
      <c r="D344" s="22"/>
      <c r="E344" s="22"/>
      <c r="F344" s="23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3"/>
      <c r="AF344" s="24"/>
      <c r="AG344" s="24"/>
      <c r="AH344" s="24"/>
      <c r="AI344" s="24"/>
      <c r="AJ344" s="22"/>
      <c r="AK344" s="22"/>
    </row>
    <row r="345">
      <c r="A345" s="22"/>
      <c r="B345" s="22"/>
      <c r="C345" s="22"/>
      <c r="D345" s="22"/>
      <c r="E345" s="22"/>
      <c r="F345" s="23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3"/>
      <c r="AF345" s="24"/>
      <c r="AG345" s="24"/>
      <c r="AH345" s="24"/>
      <c r="AI345" s="24"/>
      <c r="AJ345" s="22"/>
      <c r="AK345" s="22"/>
    </row>
    <row r="346">
      <c r="A346" s="22"/>
      <c r="B346" s="22"/>
      <c r="C346" s="22"/>
      <c r="D346" s="22"/>
      <c r="E346" s="22"/>
      <c r="F346" s="23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3"/>
      <c r="AF346" s="24"/>
      <c r="AG346" s="24"/>
      <c r="AH346" s="24"/>
      <c r="AI346" s="24"/>
      <c r="AJ346" s="22"/>
      <c r="AK346" s="22"/>
    </row>
    <row r="347">
      <c r="A347" s="22"/>
      <c r="B347" s="22"/>
      <c r="C347" s="22"/>
      <c r="D347" s="22"/>
      <c r="E347" s="22"/>
      <c r="F347" s="23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3"/>
      <c r="AF347" s="24"/>
      <c r="AG347" s="24"/>
      <c r="AH347" s="24"/>
      <c r="AI347" s="24"/>
      <c r="AJ347" s="22"/>
      <c r="AK347" s="22"/>
    </row>
    <row r="348">
      <c r="A348" s="22"/>
      <c r="B348" s="22"/>
      <c r="C348" s="22"/>
      <c r="D348" s="22"/>
      <c r="E348" s="22"/>
      <c r="F348" s="23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3"/>
      <c r="AF348" s="24"/>
      <c r="AG348" s="24"/>
      <c r="AH348" s="24"/>
      <c r="AI348" s="24"/>
      <c r="AJ348" s="22"/>
      <c r="AK348" s="22"/>
    </row>
    <row r="349">
      <c r="A349" s="22"/>
      <c r="B349" s="22"/>
      <c r="C349" s="22"/>
      <c r="D349" s="22"/>
      <c r="E349" s="22"/>
      <c r="F349" s="23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3"/>
      <c r="AF349" s="24"/>
      <c r="AG349" s="24"/>
      <c r="AH349" s="24"/>
      <c r="AI349" s="24"/>
      <c r="AJ349" s="22"/>
      <c r="AK349" s="22"/>
    </row>
    <row r="350">
      <c r="A350" s="22"/>
      <c r="B350" s="22"/>
      <c r="C350" s="22"/>
      <c r="D350" s="22"/>
      <c r="E350" s="22"/>
      <c r="F350" s="23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3"/>
      <c r="AF350" s="24"/>
      <c r="AG350" s="24"/>
      <c r="AH350" s="24"/>
      <c r="AI350" s="24"/>
      <c r="AJ350" s="22"/>
      <c r="AK350" s="22"/>
    </row>
    <row r="351">
      <c r="A351" s="22"/>
      <c r="B351" s="22"/>
      <c r="C351" s="22"/>
      <c r="D351" s="22"/>
      <c r="E351" s="22"/>
      <c r="F351" s="23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3"/>
      <c r="AF351" s="24"/>
      <c r="AG351" s="24"/>
      <c r="AH351" s="24"/>
      <c r="AI351" s="24"/>
      <c r="AJ351" s="22"/>
      <c r="AK351" s="22"/>
    </row>
    <row r="352">
      <c r="A352" s="22"/>
      <c r="B352" s="22"/>
      <c r="C352" s="22"/>
      <c r="D352" s="22"/>
      <c r="E352" s="22"/>
      <c r="F352" s="23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3"/>
      <c r="AF352" s="24"/>
      <c r="AG352" s="24"/>
      <c r="AH352" s="24"/>
      <c r="AI352" s="24"/>
      <c r="AJ352" s="22"/>
      <c r="AK352" s="22"/>
    </row>
    <row r="353">
      <c r="A353" s="22"/>
      <c r="B353" s="22"/>
      <c r="C353" s="22"/>
      <c r="D353" s="22"/>
      <c r="E353" s="22"/>
      <c r="F353" s="23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3"/>
      <c r="AF353" s="24"/>
      <c r="AG353" s="24"/>
      <c r="AH353" s="24"/>
      <c r="AI353" s="24"/>
      <c r="AJ353" s="22"/>
      <c r="AK353" s="22"/>
    </row>
    <row r="354">
      <c r="A354" s="22"/>
      <c r="B354" s="22"/>
      <c r="C354" s="22"/>
      <c r="D354" s="22"/>
      <c r="E354" s="22"/>
      <c r="F354" s="23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3"/>
      <c r="AF354" s="24"/>
      <c r="AG354" s="24"/>
      <c r="AH354" s="24"/>
      <c r="AI354" s="24"/>
      <c r="AJ354" s="22"/>
      <c r="AK354" s="22"/>
    </row>
    <row r="355">
      <c r="A355" s="22"/>
      <c r="B355" s="22"/>
      <c r="C355" s="22"/>
      <c r="D355" s="22"/>
      <c r="E355" s="22"/>
      <c r="F355" s="23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3"/>
      <c r="AF355" s="24"/>
      <c r="AG355" s="24"/>
      <c r="AH355" s="24"/>
      <c r="AI355" s="24"/>
      <c r="AJ355" s="22"/>
      <c r="AK355" s="22"/>
    </row>
    <row r="356">
      <c r="A356" s="22"/>
      <c r="B356" s="22"/>
      <c r="C356" s="22"/>
      <c r="D356" s="22"/>
      <c r="E356" s="22"/>
      <c r="F356" s="23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3"/>
      <c r="AF356" s="24"/>
      <c r="AG356" s="24"/>
      <c r="AH356" s="24"/>
      <c r="AI356" s="24"/>
      <c r="AJ356" s="22"/>
      <c r="AK356" s="22"/>
    </row>
    <row r="357">
      <c r="A357" s="22"/>
      <c r="B357" s="22"/>
      <c r="C357" s="22"/>
      <c r="D357" s="22"/>
      <c r="E357" s="22"/>
      <c r="F357" s="23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3"/>
      <c r="AF357" s="24"/>
      <c r="AG357" s="24"/>
      <c r="AH357" s="24"/>
      <c r="AI357" s="24"/>
      <c r="AJ357" s="22"/>
      <c r="AK357" s="22"/>
    </row>
    <row r="358">
      <c r="A358" s="22"/>
      <c r="B358" s="22"/>
      <c r="C358" s="22"/>
      <c r="D358" s="22"/>
      <c r="E358" s="22"/>
      <c r="F358" s="23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3"/>
      <c r="AF358" s="24"/>
      <c r="AG358" s="24"/>
      <c r="AH358" s="24"/>
      <c r="AI358" s="24"/>
      <c r="AJ358" s="22"/>
      <c r="AK358" s="22"/>
    </row>
    <row r="359">
      <c r="A359" s="22"/>
      <c r="B359" s="22"/>
      <c r="C359" s="22"/>
      <c r="D359" s="22"/>
      <c r="E359" s="22"/>
      <c r="F359" s="23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3"/>
      <c r="AF359" s="24"/>
      <c r="AG359" s="24"/>
      <c r="AH359" s="24"/>
      <c r="AI359" s="24"/>
      <c r="AJ359" s="22"/>
      <c r="AK359" s="22"/>
    </row>
    <row r="360">
      <c r="A360" s="22"/>
      <c r="B360" s="22"/>
      <c r="C360" s="22"/>
      <c r="D360" s="22"/>
      <c r="E360" s="22"/>
      <c r="F360" s="23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3"/>
      <c r="AF360" s="24"/>
      <c r="AG360" s="24"/>
      <c r="AH360" s="24"/>
      <c r="AI360" s="24"/>
      <c r="AJ360" s="22"/>
      <c r="AK360" s="22"/>
    </row>
    <row r="361">
      <c r="A361" s="22"/>
      <c r="B361" s="22"/>
      <c r="C361" s="22"/>
      <c r="D361" s="22"/>
      <c r="E361" s="22"/>
      <c r="F361" s="23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3"/>
      <c r="AF361" s="24"/>
      <c r="AG361" s="24"/>
      <c r="AH361" s="24"/>
      <c r="AI361" s="24"/>
      <c r="AJ361" s="22"/>
      <c r="AK361" s="22"/>
    </row>
    <row r="362">
      <c r="A362" s="22"/>
      <c r="B362" s="22"/>
      <c r="C362" s="22"/>
      <c r="D362" s="22"/>
      <c r="E362" s="22"/>
      <c r="F362" s="23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3"/>
      <c r="AF362" s="24"/>
      <c r="AG362" s="24"/>
      <c r="AH362" s="24"/>
      <c r="AI362" s="24"/>
      <c r="AJ362" s="22"/>
      <c r="AK362" s="22"/>
    </row>
    <row r="363">
      <c r="A363" s="22"/>
      <c r="B363" s="22"/>
      <c r="C363" s="22"/>
      <c r="D363" s="22"/>
      <c r="E363" s="22"/>
      <c r="F363" s="23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3"/>
      <c r="AF363" s="24"/>
      <c r="AG363" s="24"/>
      <c r="AH363" s="24"/>
      <c r="AI363" s="24"/>
      <c r="AJ363" s="22"/>
      <c r="AK363" s="22"/>
    </row>
    <row r="364">
      <c r="A364" s="22"/>
      <c r="B364" s="22"/>
      <c r="C364" s="22"/>
      <c r="D364" s="22"/>
      <c r="E364" s="22"/>
      <c r="F364" s="23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3"/>
      <c r="AF364" s="24"/>
      <c r="AG364" s="24"/>
      <c r="AH364" s="24"/>
      <c r="AI364" s="24"/>
      <c r="AJ364" s="22"/>
      <c r="AK364" s="22"/>
    </row>
    <row r="365">
      <c r="A365" s="22"/>
      <c r="B365" s="22"/>
      <c r="C365" s="22"/>
      <c r="D365" s="22"/>
      <c r="E365" s="22"/>
      <c r="F365" s="23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3"/>
      <c r="AF365" s="24"/>
      <c r="AG365" s="24"/>
      <c r="AH365" s="24"/>
      <c r="AI365" s="24"/>
      <c r="AJ365" s="22"/>
      <c r="AK365" s="22"/>
    </row>
    <row r="366">
      <c r="A366" s="22"/>
      <c r="B366" s="22"/>
      <c r="C366" s="22"/>
      <c r="D366" s="22"/>
      <c r="E366" s="22"/>
      <c r="F366" s="23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3"/>
      <c r="AF366" s="24"/>
      <c r="AG366" s="24"/>
      <c r="AH366" s="24"/>
      <c r="AI366" s="24"/>
      <c r="AJ366" s="22"/>
      <c r="AK366" s="22"/>
    </row>
    <row r="367">
      <c r="A367" s="22"/>
      <c r="B367" s="22"/>
      <c r="C367" s="22"/>
      <c r="D367" s="22"/>
      <c r="E367" s="22"/>
      <c r="F367" s="23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3"/>
      <c r="AF367" s="24"/>
      <c r="AG367" s="24"/>
      <c r="AH367" s="24"/>
      <c r="AI367" s="24"/>
      <c r="AJ367" s="22"/>
      <c r="AK367" s="22"/>
    </row>
    <row r="368">
      <c r="A368" s="22"/>
      <c r="B368" s="22"/>
      <c r="C368" s="22"/>
      <c r="D368" s="22"/>
      <c r="E368" s="22"/>
      <c r="F368" s="23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3"/>
      <c r="AF368" s="24"/>
      <c r="AG368" s="24"/>
      <c r="AH368" s="24"/>
      <c r="AI368" s="24"/>
      <c r="AJ368" s="22"/>
      <c r="AK368" s="22"/>
    </row>
    <row r="369">
      <c r="A369" s="22"/>
      <c r="B369" s="22"/>
      <c r="C369" s="22"/>
      <c r="D369" s="22"/>
      <c r="E369" s="22"/>
      <c r="F369" s="23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3"/>
      <c r="AF369" s="24"/>
      <c r="AG369" s="24"/>
      <c r="AH369" s="24"/>
      <c r="AI369" s="24"/>
      <c r="AJ369" s="22"/>
      <c r="AK369" s="22"/>
    </row>
    <row r="370">
      <c r="A370" s="22"/>
      <c r="B370" s="22"/>
      <c r="C370" s="22"/>
      <c r="D370" s="22"/>
      <c r="E370" s="22"/>
      <c r="F370" s="23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3"/>
      <c r="AF370" s="24"/>
      <c r="AG370" s="24"/>
      <c r="AH370" s="24"/>
      <c r="AI370" s="24"/>
      <c r="AJ370" s="22"/>
      <c r="AK370" s="22"/>
    </row>
    <row r="371">
      <c r="A371" s="22"/>
      <c r="B371" s="22"/>
      <c r="C371" s="22"/>
      <c r="D371" s="22"/>
      <c r="E371" s="22"/>
      <c r="F371" s="23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3"/>
      <c r="AF371" s="24"/>
      <c r="AG371" s="24"/>
      <c r="AH371" s="24"/>
      <c r="AI371" s="24"/>
      <c r="AJ371" s="22"/>
      <c r="AK371" s="22"/>
    </row>
    <row r="372">
      <c r="A372" s="22"/>
      <c r="B372" s="22"/>
      <c r="C372" s="22"/>
      <c r="D372" s="22"/>
      <c r="E372" s="22"/>
      <c r="F372" s="23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3"/>
      <c r="AF372" s="24"/>
      <c r="AG372" s="24"/>
      <c r="AH372" s="24"/>
      <c r="AI372" s="24"/>
      <c r="AJ372" s="22"/>
      <c r="AK372" s="22"/>
    </row>
    <row r="373">
      <c r="A373" s="22"/>
      <c r="B373" s="22"/>
      <c r="C373" s="22"/>
      <c r="D373" s="22"/>
      <c r="E373" s="22"/>
      <c r="F373" s="23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3"/>
      <c r="AF373" s="24"/>
      <c r="AG373" s="24"/>
      <c r="AH373" s="24"/>
      <c r="AI373" s="24"/>
      <c r="AJ373" s="22"/>
      <c r="AK373" s="22"/>
    </row>
    <row r="374">
      <c r="A374" s="22"/>
      <c r="B374" s="22"/>
      <c r="C374" s="22"/>
      <c r="D374" s="22"/>
      <c r="E374" s="22"/>
      <c r="F374" s="23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3"/>
      <c r="AF374" s="24"/>
      <c r="AG374" s="24"/>
      <c r="AH374" s="24"/>
      <c r="AI374" s="24"/>
      <c r="AJ374" s="22"/>
      <c r="AK374" s="22"/>
    </row>
    <row r="375">
      <c r="A375" s="22"/>
      <c r="B375" s="22"/>
      <c r="C375" s="22"/>
      <c r="D375" s="22"/>
      <c r="E375" s="22"/>
      <c r="F375" s="23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3"/>
      <c r="AF375" s="24"/>
      <c r="AG375" s="24"/>
      <c r="AH375" s="24"/>
      <c r="AI375" s="24"/>
      <c r="AJ375" s="22"/>
      <c r="AK375" s="22"/>
    </row>
    <row r="376">
      <c r="A376" s="22"/>
      <c r="B376" s="22"/>
      <c r="C376" s="22"/>
      <c r="D376" s="22"/>
      <c r="E376" s="22"/>
      <c r="F376" s="23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3"/>
      <c r="AF376" s="24"/>
      <c r="AG376" s="24"/>
      <c r="AH376" s="24"/>
      <c r="AI376" s="24"/>
      <c r="AJ376" s="22"/>
      <c r="AK376" s="22"/>
    </row>
    <row r="377">
      <c r="A377" s="22"/>
      <c r="B377" s="22"/>
      <c r="C377" s="22"/>
      <c r="D377" s="22"/>
      <c r="E377" s="22"/>
      <c r="F377" s="23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3"/>
      <c r="AF377" s="24"/>
      <c r="AG377" s="24"/>
      <c r="AH377" s="24"/>
      <c r="AI377" s="24"/>
      <c r="AJ377" s="22"/>
      <c r="AK377" s="22"/>
    </row>
    <row r="378">
      <c r="A378" s="22"/>
      <c r="B378" s="22"/>
      <c r="C378" s="22"/>
      <c r="D378" s="22"/>
      <c r="E378" s="22"/>
      <c r="F378" s="23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3"/>
      <c r="AF378" s="24"/>
      <c r="AG378" s="24"/>
      <c r="AH378" s="24"/>
      <c r="AI378" s="24"/>
      <c r="AJ378" s="22"/>
      <c r="AK378" s="22"/>
    </row>
    <row r="379">
      <c r="A379" s="22"/>
      <c r="B379" s="22"/>
      <c r="C379" s="22"/>
      <c r="D379" s="22"/>
      <c r="E379" s="22"/>
      <c r="F379" s="23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3"/>
      <c r="AF379" s="24"/>
      <c r="AG379" s="24"/>
      <c r="AH379" s="24"/>
      <c r="AI379" s="24"/>
      <c r="AJ379" s="22"/>
      <c r="AK379" s="22"/>
    </row>
    <row r="380">
      <c r="A380" s="22"/>
      <c r="B380" s="22"/>
      <c r="C380" s="22"/>
      <c r="D380" s="22"/>
      <c r="E380" s="22"/>
      <c r="F380" s="23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3"/>
      <c r="AF380" s="24"/>
      <c r="AG380" s="24"/>
      <c r="AH380" s="24"/>
      <c r="AI380" s="24"/>
      <c r="AJ380" s="22"/>
      <c r="AK380" s="22"/>
    </row>
    <row r="381">
      <c r="A381" s="22"/>
      <c r="B381" s="22"/>
      <c r="C381" s="22"/>
      <c r="D381" s="22"/>
      <c r="E381" s="22"/>
      <c r="F381" s="23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3"/>
      <c r="AF381" s="24"/>
      <c r="AG381" s="24"/>
      <c r="AH381" s="24"/>
      <c r="AI381" s="24"/>
      <c r="AJ381" s="22"/>
      <c r="AK381" s="22"/>
    </row>
    <row r="382">
      <c r="A382" s="22"/>
      <c r="B382" s="22"/>
      <c r="C382" s="22"/>
      <c r="D382" s="22"/>
      <c r="E382" s="22"/>
      <c r="F382" s="23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3"/>
      <c r="AF382" s="24"/>
      <c r="AG382" s="24"/>
      <c r="AH382" s="24"/>
      <c r="AI382" s="24"/>
      <c r="AJ382" s="22"/>
      <c r="AK382" s="22"/>
    </row>
    <row r="383">
      <c r="A383" s="22"/>
      <c r="B383" s="22"/>
      <c r="C383" s="22"/>
      <c r="D383" s="22"/>
      <c r="E383" s="22"/>
      <c r="F383" s="23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3"/>
      <c r="AF383" s="24"/>
      <c r="AG383" s="24"/>
      <c r="AH383" s="24"/>
      <c r="AI383" s="24"/>
      <c r="AJ383" s="22"/>
      <c r="AK383" s="22"/>
    </row>
    <row r="384">
      <c r="A384" s="22"/>
      <c r="B384" s="22"/>
      <c r="C384" s="22"/>
      <c r="D384" s="22"/>
      <c r="E384" s="22"/>
      <c r="F384" s="23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3"/>
      <c r="AF384" s="24"/>
      <c r="AG384" s="24"/>
      <c r="AH384" s="24"/>
      <c r="AI384" s="24"/>
      <c r="AJ384" s="22"/>
      <c r="AK384" s="22"/>
    </row>
    <row r="385">
      <c r="A385" s="22"/>
      <c r="B385" s="22"/>
      <c r="C385" s="22"/>
      <c r="D385" s="22"/>
      <c r="E385" s="22"/>
      <c r="F385" s="23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3"/>
      <c r="AF385" s="24"/>
      <c r="AG385" s="24"/>
      <c r="AH385" s="24"/>
      <c r="AI385" s="24"/>
      <c r="AJ385" s="22"/>
      <c r="AK385" s="22"/>
    </row>
    <row r="386">
      <c r="A386" s="22"/>
      <c r="B386" s="22"/>
      <c r="C386" s="22"/>
      <c r="D386" s="22"/>
      <c r="E386" s="22"/>
      <c r="F386" s="23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3"/>
      <c r="AF386" s="24"/>
      <c r="AG386" s="24"/>
      <c r="AH386" s="24"/>
      <c r="AI386" s="24"/>
      <c r="AJ386" s="22"/>
      <c r="AK386" s="22"/>
    </row>
    <row r="387">
      <c r="A387" s="22"/>
      <c r="B387" s="22"/>
      <c r="C387" s="22"/>
      <c r="D387" s="22"/>
      <c r="E387" s="22"/>
      <c r="F387" s="23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3"/>
      <c r="AF387" s="24"/>
      <c r="AG387" s="24"/>
      <c r="AH387" s="24"/>
      <c r="AI387" s="24"/>
      <c r="AJ387" s="22"/>
      <c r="AK387" s="22"/>
    </row>
    <row r="388">
      <c r="A388" s="22"/>
      <c r="B388" s="22"/>
      <c r="C388" s="22"/>
      <c r="D388" s="22"/>
      <c r="E388" s="22"/>
      <c r="F388" s="23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3"/>
      <c r="AF388" s="24"/>
      <c r="AG388" s="24"/>
      <c r="AH388" s="24"/>
      <c r="AI388" s="24"/>
      <c r="AJ388" s="22"/>
      <c r="AK388" s="22"/>
    </row>
    <row r="389">
      <c r="A389" s="22"/>
      <c r="B389" s="22"/>
      <c r="C389" s="22"/>
      <c r="D389" s="22"/>
      <c r="E389" s="22"/>
      <c r="F389" s="23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3"/>
      <c r="AF389" s="24"/>
      <c r="AG389" s="24"/>
      <c r="AH389" s="24"/>
      <c r="AI389" s="24"/>
      <c r="AJ389" s="22"/>
      <c r="AK389" s="22"/>
    </row>
    <row r="390">
      <c r="A390" s="22"/>
      <c r="B390" s="22"/>
      <c r="C390" s="22"/>
      <c r="D390" s="22"/>
      <c r="E390" s="22"/>
      <c r="F390" s="23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3"/>
      <c r="AF390" s="24"/>
      <c r="AG390" s="24"/>
      <c r="AH390" s="24"/>
      <c r="AI390" s="24"/>
      <c r="AJ390" s="22"/>
      <c r="AK390" s="22"/>
    </row>
    <row r="391">
      <c r="A391" s="22"/>
      <c r="B391" s="22"/>
      <c r="C391" s="22"/>
      <c r="D391" s="22"/>
      <c r="E391" s="22"/>
      <c r="F391" s="23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3"/>
      <c r="AF391" s="24"/>
      <c r="AG391" s="24"/>
      <c r="AH391" s="24"/>
      <c r="AI391" s="24"/>
      <c r="AJ391" s="22"/>
      <c r="AK391" s="22"/>
    </row>
    <row r="392">
      <c r="A392" s="22"/>
      <c r="B392" s="22"/>
      <c r="C392" s="22"/>
      <c r="D392" s="22"/>
      <c r="E392" s="22"/>
      <c r="F392" s="23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3"/>
      <c r="AF392" s="24"/>
      <c r="AG392" s="24"/>
      <c r="AH392" s="24"/>
      <c r="AI392" s="24"/>
      <c r="AJ392" s="22"/>
      <c r="AK392" s="22"/>
    </row>
    <row r="393">
      <c r="A393" s="22"/>
      <c r="B393" s="22"/>
      <c r="C393" s="22"/>
      <c r="D393" s="22"/>
      <c r="E393" s="22"/>
      <c r="F393" s="23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3"/>
      <c r="AF393" s="24"/>
      <c r="AG393" s="24"/>
      <c r="AH393" s="24"/>
      <c r="AI393" s="24"/>
      <c r="AJ393" s="22"/>
      <c r="AK393" s="22"/>
    </row>
    <row r="394">
      <c r="A394" s="22"/>
      <c r="B394" s="22"/>
      <c r="C394" s="22"/>
      <c r="D394" s="22"/>
      <c r="E394" s="22"/>
      <c r="F394" s="23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3"/>
      <c r="AF394" s="24"/>
      <c r="AG394" s="24"/>
      <c r="AH394" s="24"/>
      <c r="AI394" s="24"/>
      <c r="AJ394" s="22"/>
      <c r="AK394" s="22"/>
    </row>
    <row r="395">
      <c r="A395" s="22"/>
      <c r="B395" s="22"/>
      <c r="C395" s="22"/>
      <c r="D395" s="22"/>
      <c r="E395" s="22"/>
      <c r="F395" s="23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3"/>
      <c r="AF395" s="24"/>
      <c r="AG395" s="24"/>
      <c r="AH395" s="24"/>
      <c r="AI395" s="24"/>
      <c r="AJ395" s="22"/>
      <c r="AK395" s="22"/>
    </row>
    <row r="396">
      <c r="A396" s="22"/>
      <c r="B396" s="22"/>
      <c r="C396" s="22"/>
      <c r="D396" s="22"/>
      <c r="E396" s="22"/>
      <c r="F396" s="23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3"/>
      <c r="AF396" s="24"/>
      <c r="AG396" s="24"/>
      <c r="AH396" s="24"/>
      <c r="AI396" s="24"/>
      <c r="AJ396" s="22"/>
      <c r="AK396" s="22"/>
    </row>
    <row r="397">
      <c r="A397" s="22"/>
      <c r="B397" s="22"/>
      <c r="C397" s="22"/>
      <c r="D397" s="22"/>
      <c r="E397" s="22"/>
      <c r="F397" s="23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3"/>
      <c r="AF397" s="24"/>
      <c r="AG397" s="24"/>
      <c r="AH397" s="24"/>
      <c r="AI397" s="24"/>
      <c r="AJ397" s="22"/>
      <c r="AK397" s="22"/>
    </row>
    <row r="398">
      <c r="A398" s="22"/>
      <c r="B398" s="22"/>
      <c r="C398" s="22"/>
      <c r="D398" s="22"/>
      <c r="E398" s="22"/>
      <c r="F398" s="23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3"/>
      <c r="AF398" s="24"/>
      <c r="AG398" s="24"/>
      <c r="AH398" s="24"/>
      <c r="AI398" s="24"/>
      <c r="AJ398" s="22"/>
      <c r="AK398" s="22"/>
    </row>
    <row r="399">
      <c r="A399" s="22"/>
      <c r="B399" s="22"/>
      <c r="C399" s="22"/>
      <c r="D399" s="22"/>
      <c r="E399" s="22"/>
      <c r="F399" s="23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3"/>
      <c r="AF399" s="24"/>
      <c r="AG399" s="24"/>
      <c r="AH399" s="24"/>
      <c r="AI399" s="24"/>
      <c r="AJ399" s="22"/>
      <c r="AK399" s="22"/>
    </row>
    <row r="400">
      <c r="A400" s="22"/>
      <c r="B400" s="22"/>
      <c r="C400" s="22"/>
      <c r="D400" s="22"/>
      <c r="E400" s="22"/>
      <c r="F400" s="23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3"/>
      <c r="AF400" s="24"/>
      <c r="AG400" s="24"/>
      <c r="AH400" s="24"/>
      <c r="AI400" s="24"/>
      <c r="AJ400" s="22"/>
      <c r="AK400" s="22"/>
    </row>
    <row r="401">
      <c r="A401" s="22"/>
      <c r="B401" s="22"/>
      <c r="C401" s="22"/>
      <c r="D401" s="22"/>
      <c r="E401" s="22"/>
      <c r="F401" s="23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3"/>
      <c r="AF401" s="24"/>
      <c r="AG401" s="24"/>
      <c r="AH401" s="24"/>
      <c r="AI401" s="24"/>
      <c r="AJ401" s="22"/>
      <c r="AK401" s="22"/>
    </row>
    <row r="402">
      <c r="A402" s="22"/>
      <c r="B402" s="22"/>
      <c r="C402" s="22"/>
      <c r="D402" s="22"/>
      <c r="E402" s="22"/>
      <c r="F402" s="23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3"/>
      <c r="AF402" s="24"/>
      <c r="AG402" s="24"/>
      <c r="AH402" s="24"/>
      <c r="AI402" s="24"/>
      <c r="AJ402" s="22"/>
      <c r="AK402" s="22"/>
    </row>
    <row r="403">
      <c r="A403" s="22"/>
      <c r="B403" s="22"/>
      <c r="C403" s="22"/>
      <c r="D403" s="22"/>
      <c r="E403" s="22"/>
      <c r="F403" s="23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3"/>
      <c r="AF403" s="24"/>
      <c r="AG403" s="24"/>
      <c r="AH403" s="24"/>
      <c r="AI403" s="24"/>
      <c r="AJ403" s="22"/>
      <c r="AK403" s="22"/>
    </row>
    <row r="404">
      <c r="A404" s="22"/>
      <c r="B404" s="22"/>
      <c r="C404" s="22"/>
      <c r="D404" s="22"/>
      <c r="E404" s="22"/>
      <c r="F404" s="23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3"/>
      <c r="AF404" s="24"/>
      <c r="AG404" s="24"/>
      <c r="AH404" s="24"/>
      <c r="AI404" s="24"/>
      <c r="AJ404" s="22"/>
      <c r="AK404" s="22"/>
    </row>
    <row r="405">
      <c r="A405" s="22"/>
      <c r="B405" s="22"/>
      <c r="C405" s="22"/>
      <c r="D405" s="22"/>
      <c r="E405" s="22"/>
      <c r="F405" s="23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3"/>
      <c r="AF405" s="24"/>
      <c r="AG405" s="24"/>
      <c r="AH405" s="24"/>
      <c r="AI405" s="24"/>
      <c r="AJ405" s="22"/>
      <c r="AK405" s="22"/>
    </row>
    <row r="406">
      <c r="A406" s="22"/>
      <c r="B406" s="22"/>
      <c r="C406" s="22"/>
      <c r="D406" s="22"/>
      <c r="E406" s="22"/>
      <c r="F406" s="23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3"/>
      <c r="AF406" s="24"/>
      <c r="AG406" s="24"/>
      <c r="AH406" s="24"/>
      <c r="AI406" s="24"/>
      <c r="AJ406" s="22"/>
      <c r="AK406" s="22"/>
    </row>
    <row r="407">
      <c r="A407" s="22"/>
      <c r="B407" s="22"/>
      <c r="C407" s="22"/>
      <c r="D407" s="22"/>
      <c r="E407" s="22"/>
      <c r="F407" s="23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3"/>
      <c r="AF407" s="24"/>
      <c r="AG407" s="24"/>
      <c r="AH407" s="24"/>
      <c r="AI407" s="24"/>
      <c r="AJ407" s="22"/>
      <c r="AK407" s="22"/>
    </row>
    <row r="408">
      <c r="A408" s="22"/>
      <c r="B408" s="22"/>
      <c r="C408" s="22"/>
      <c r="D408" s="22"/>
      <c r="E408" s="22"/>
      <c r="F408" s="23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3"/>
      <c r="AF408" s="24"/>
      <c r="AG408" s="24"/>
      <c r="AH408" s="24"/>
      <c r="AI408" s="24"/>
      <c r="AJ408" s="22"/>
      <c r="AK408" s="22"/>
    </row>
    <row r="409">
      <c r="A409" s="22"/>
      <c r="B409" s="22"/>
      <c r="C409" s="22"/>
      <c r="D409" s="22"/>
      <c r="E409" s="22"/>
      <c r="F409" s="23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3"/>
      <c r="AF409" s="24"/>
      <c r="AG409" s="24"/>
      <c r="AH409" s="24"/>
      <c r="AI409" s="24"/>
      <c r="AJ409" s="22"/>
      <c r="AK409" s="22"/>
    </row>
    <row r="410">
      <c r="A410" s="22"/>
      <c r="B410" s="22"/>
      <c r="C410" s="22"/>
      <c r="D410" s="22"/>
      <c r="E410" s="22"/>
      <c r="F410" s="23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3"/>
      <c r="AF410" s="24"/>
      <c r="AG410" s="24"/>
      <c r="AH410" s="24"/>
      <c r="AI410" s="24"/>
      <c r="AJ410" s="22"/>
      <c r="AK410" s="22"/>
    </row>
    <row r="411">
      <c r="A411" s="22"/>
      <c r="B411" s="22"/>
      <c r="C411" s="22"/>
      <c r="D411" s="22"/>
      <c r="E411" s="22"/>
      <c r="F411" s="23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3"/>
      <c r="AF411" s="24"/>
      <c r="AG411" s="24"/>
      <c r="AH411" s="24"/>
      <c r="AI411" s="24"/>
      <c r="AJ411" s="22"/>
      <c r="AK411" s="22"/>
    </row>
    <row r="412">
      <c r="A412" s="22"/>
      <c r="B412" s="22"/>
      <c r="C412" s="22"/>
      <c r="D412" s="22"/>
      <c r="E412" s="22"/>
      <c r="F412" s="23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3"/>
      <c r="AF412" s="24"/>
      <c r="AG412" s="24"/>
      <c r="AH412" s="24"/>
      <c r="AI412" s="24"/>
      <c r="AJ412" s="22"/>
      <c r="AK412" s="22"/>
    </row>
    <row r="413">
      <c r="A413" s="22"/>
      <c r="B413" s="22"/>
      <c r="C413" s="22"/>
      <c r="D413" s="22"/>
      <c r="E413" s="22"/>
      <c r="F413" s="23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3"/>
      <c r="AF413" s="24"/>
      <c r="AG413" s="24"/>
      <c r="AH413" s="24"/>
      <c r="AI413" s="24"/>
      <c r="AJ413" s="22"/>
      <c r="AK413" s="22"/>
    </row>
    <row r="414">
      <c r="A414" s="22"/>
      <c r="B414" s="22"/>
      <c r="C414" s="22"/>
      <c r="D414" s="22"/>
      <c r="E414" s="22"/>
      <c r="F414" s="23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3"/>
      <c r="AF414" s="24"/>
      <c r="AG414" s="24"/>
      <c r="AH414" s="24"/>
      <c r="AI414" s="24"/>
      <c r="AJ414" s="22"/>
      <c r="AK414" s="22"/>
    </row>
    <row r="415">
      <c r="A415" s="22"/>
      <c r="B415" s="22"/>
      <c r="C415" s="22"/>
      <c r="D415" s="22"/>
      <c r="E415" s="22"/>
      <c r="F415" s="23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3"/>
      <c r="AF415" s="24"/>
      <c r="AG415" s="24"/>
      <c r="AH415" s="24"/>
      <c r="AI415" s="24"/>
      <c r="AJ415" s="22"/>
      <c r="AK415" s="22"/>
    </row>
    <row r="416">
      <c r="A416" s="22"/>
      <c r="B416" s="22"/>
      <c r="C416" s="22"/>
      <c r="D416" s="22"/>
      <c r="E416" s="22"/>
      <c r="F416" s="23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3"/>
      <c r="AF416" s="24"/>
      <c r="AG416" s="24"/>
      <c r="AH416" s="24"/>
      <c r="AI416" s="24"/>
      <c r="AJ416" s="22"/>
      <c r="AK416" s="22"/>
    </row>
    <row r="417">
      <c r="A417" s="22"/>
      <c r="B417" s="22"/>
      <c r="C417" s="22"/>
      <c r="D417" s="22"/>
      <c r="E417" s="22"/>
      <c r="F417" s="23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3"/>
      <c r="AF417" s="24"/>
      <c r="AG417" s="24"/>
      <c r="AH417" s="24"/>
      <c r="AI417" s="24"/>
      <c r="AJ417" s="22"/>
      <c r="AK417" s="22"/>
    </row>
    <row r="418">
      <c r="A418" s="22"/>
      <c r="B418" s="22"/>
      <c r="C418" s="22"/>
      <c r="D418" s="22"/>
      <c r="E418" s="22"/>
      <c r="F418" s="23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3"/>
      <c r="AF418" s="24"/>
      <c r="AG418" s="24"/>
      <c r="AH418" s="24"/>
      <c r="AI418" s="24"/>
      <c r="AJ418" s="22"/>
      <c r="AK418" s="22"/>
    </row>
    <row r="419">
      <c r="A419" s="22"/>
      <c r="B419" s="22"/>
      <c r="C419" s="22"/>
      <c r="D419" s="22"/>
      <c r="E419" s="22"/>
      <c r="F419" s="23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3"/>
      <c r="AF419" s="24"/>
      <c r="AG419" s="24"/>
      <c r="AH419" s="24"/>
      <c r="AI419" s="24"/>
      <c r="AJ419" s="22"/>
      <c r="AK419" s="22"/>
    </row>
    <row r="420">
      <c r="A420" s="22"/>
      <c r="B420" s="22"/>
      <c r="C420" s="22"/>
      <c r="D420" s="22"/>
      <c r="E420" s="22"/>
      <c r="F420" s="23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3"/>
      <c r="AF420" s="24"/>
      <c r="AG420" s="24"/>
      <c r="AH420" s="24"/>
      <c r="AI420" s="24"/>
      <c r="AJ420" s="22"/>
      <c r="AK420" s="22"/>
    </row>
    <row r="421">
      <c r="A421" s="22"/>
      <c r="B421" s="22"/>
      <c r="C421" s="22"/>
      <c r="D421" s="22"/>
      <c r="E421" s="22"/>
      <c r="F421" s="23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3"/>
      <c r="AF421" s="24"/>
      <c r="AG421" s="24"/>
      <c r="AH421" s="24"/>
      <c r="AI421" s="24"/>
      <c r="AJ421" s="22"/>
      <c r="AK421" s="22"/>
    </row>
    <row r="422">
      <c r="A422" s="22"/>
      <c r="B422" s="22"/>
      <c r="C422" s="22"/>
      <c r="D422" s="22"/>
      <c r="E422" s="22"/>
      <c r="F422" s="23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3"/>
      <c r="AF422" s="24"/>
      <c r="AG422" s="24"/>
      <c r="AH422" s="24"/>
      <c r="AI422" s="24"/>
      <c r="AJ422" s="22"/>
      <c r="AK422" s="22"/>
    </row>
    <row r="423">
      <c r="A423" s="22"/>
      <c r="B423" s="22"/>
      <c r="C423" s="22"/>
      <c r="D423" s="22"/>
      <c r="E423" s="22"/>
      <c r="F423" s="23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3"/>
      <c r="AF423" s="24"/>
      <c r="AG423" s="24"/>
      <c r="AH423" s="24"/>
      <c r="AI423" s="24"/>
      <c r="AJ423" s="22"/>
      <c r="AK423" s="22"/>
    </row>
    <row r="424">
      <c r="A424" s="22"/>
      <c r="B424" s="22"/>
      <c r="C424" s="22"/>
      <c r="D424" s="22"/>
      <c r="E424" s="22"/>
      <c r="F424" s="23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3"/>
      <c r="AF424" s="24"/>
      <c r="AG424" s="24"/>
      <c r="AH424" s="24"/>
      <c r="AI424" s="24"/>
      <c r="AJ424" s="22"/>
      <c r="AK424" s="22"/>
    </row>
    <row r="425">
      <c r="A425" s="22"/>
      <c r="B425" s="22"/>
      <c r="C425" s="22"/>
      <c r="D425" s="22"/>
      <c r="E425" s="22"/>
      <c r="F425" s="23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3"/>
      <c r="AF425" s="24"/>
      <c r="AG425" s="24"/>
      <c r="AH425" s="24"/>
      <c r="AI425" s="24"/>
      <c r="AJ425" s="22"/>
      <c r="AK425" s="22"/>
    </row>
    <row r="426">
      <c r="A426" s="22"/>
      <c r="B426" s="22"/>
      <c r="C426" s="22"/>
      <c r="D426" s="22"/>
      <c r="E426" s="22"/>
      <c r="F426" s="23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3"/>
      <c r="AF426" s="24"/>
      <c r="AG426" s="24"/>
      <c r="AH426" s="24"/>
      <c r="AI426" s="24"/>
      <c r="AJ426" s="22"/>
      <c r="AK426" s="22"/>
    </row>
    <row r="427">
      <c r="A427" s="22"/>
      <c r="B427" s="22"/>
      <c r="C427" s="22"/>
      <c r="D427" s="22"/>
      <c r="E427" s="22"/>
      <c r="F427" s="23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3"/>
      <c r="AF427" s="24"/>
      <c r="AG427" s="24"/>
      <c r="AH427" s="24"/>
      <c r="AI427" s="24"/>
      <c r="AJ427" s="22"/>
      <c r="AK427" s="22"/>
    </row>
    <row r="428">
      <c r="A428" s="22"/>
      <c r="B428" s="22"/>
      <c r="C428" s="22"/>
      <c r="D428" s="22"/>
      <c r="E428" s="22"/>
      <c r="F428" s="23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3"/>
      <c r="AF428" s="24"/>
      <c r="AG428" s="24"/>
      <c r="AH428" s="24"/>
      <c r="AI428" s="24"/>
      <c r="AJ428" s="22"/>
      <c r="AK428" s="22"/>
    </row>
    <row r="429">
      <c r="A429" s="22"/>
      <c r="B429" s="22"/>
      <c r="C429" s="22"/>
      <c r="D429" s="22"/>
      <c r="E429" s="22"/>
      <c r="F429" s="23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3"/>
      <c r="AF429" s="24"/>
      <c r="AG429" s="24"/>
      <c r="AH429" s="24"/>
      <c r="AI429" s="24"/>
      <c r="AJ429" s="22"/>
      <c r="AK429" s="22"/>
    </row>
    <row r="430">
      <c r="A430" s="22"/>
      <c r="B430" s="22"/>
      <c r="C430" s="22"/>
      <c r="D430" s="22"/>
      <c r="E430" s="22"/>
      <c r="F430" s="23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3"/>
      <c r="AF430" s="24"/>
      <c r="AG430" s="24"/>
      <c r="AH430" s="24"/>
      <c r="AI430" s="24"/>
      <c r="AJ430" s="22"/>
      <c r="AK430" s="22"/>
    </row>
    <row r="431">
      <c r="A431" s="22"/>
      <c r="B431" s="22"/>
      <c r="C431" s="22"/>
      <c r="D431" s="22"/>
      <c r="E431" s="22"/>
      <c r="F431" s="23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3"/>
      <c r="AF431" s="24"/>
      <c r="AG431" s="24"/>
      <c r="AH431" s="24"/>
      <c r="AI431" s="24"/>
      <c r="AJ431" s="22"/>
      <c r="AK431" s="22"/>
    </row>
    <row r="432">
      <c r="A432" s="22"/>
      <c r="B432" s="22"/>
      <c r="C432" s="22"/>
      <c r="D432" s="22"/>
      <c r="E432" s="22"/>
      <c r="F432" s="23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3"/>
      <c r="AF432" s="24"/>
      <c r="AG432" s="24"/>
      <c r="AH432" s="24"/>
      <c r="AI432" s="24"/>
      <c r="AJ432" s="22"/>
      <c r="AK432" s="22"/>
    </row>
    <row r="433">
      <c r="A433" s="22"/>
      <c r="B433" s="22"/>
      <c r="C433" s="22"/>
      <c r="D433" s="22"/>
      <c r="E433" s="22"/>
      <c r="F433" s="23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3"/>
      <c r="AF433" s="24"/>
      <c r="AG433" s="24"/>
      <c r="AH433" s="24"/>
      <c r="AI433" s="24"/>
      <c r="AJ433" s="22"/>
      <c r="AK433" s="22"/>
    </row>
    <row r="434">
      <c r="A434" s="22"/>
      <c r="B434" s="22"/>
      <c r="C434" s="22"/>
      <c r="D434" s="22"/>
      <c r="E434" s="22"/>
      <c r="F434" s="23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3"/>
      <c r="AF434" s="24"/>
      <c r="AG434" s="24"/>
      <c r="AH434" s="24"/>
      <c r="AI434" s="24"/>
      <c r="AJ434" s="22"/>
      <c r="AK434" s="22"/>
    </row>
    <row r="435">
      <c r="A435" s="22"/>
      <c r="B435" s="22"/>
      <c r="C435" s="22"/>
      <c r="D435" s="22"/>
      <c r="E435" s="22"/>
      <c r="F435" s="23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3"/>
      <c r="AF435" s="24"/>
      <c r="AG435" s="24"/>
      <c r="AH435" s="24"/>
      <c r="AI435" s="24"/>
      <c r="AJ435" s="22"/>
      <c r="AK435" s="22"/>
    </row>
    <row r="436">
      <c r="A436" s="22"/>
      <c r="B436" s="22"/>
      <c r="C436" s="22"/>
      <c r="D436" s="22"/>
      <c r="E436" s="22"/>
      <c r="F436" s="23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3"/>
      <c r="AF436" s="24"/>
      <c r="AG436" s="24"/>
      <c r="AH436" s="24"/>
      <c r="AI436" s="24"/>
      <c r="AJ436" s="22"/>
      <c r="AK436" s="22"/>
    </row>
    <row r="437">
      <c r="A437" s="22"/>
      <c r="B437" s="22"/>
      <c r="C437" s="22"/>
      <c r="D437" s="22"/>
      <c r="E437" s="22"/>
      <c r="F437" s="23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3"/>
      <c r="AF437" s="24"/>
      <c r="AG437" s="24"/>
      <c r="AH437" s="24"/>
      <c r="AI437" s="24"/>
      <c r="AJ437" s="22"/>
      <c r="AK437" s="22"/>
    </row>
    <row r="438">
      <c r="A438" s="22"/>
      <c r="B438" s="22"/>
      <c r="C438" s="22"/>
      <c r="D438" s="22"/>
      <c r="E438" s="22"/>
      <c r="F438" s="23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3"/>
      <c r="AF438" s="24"/>
      <c r="AG438" s="24"/>
      <c r="AH438" s="24"/>
      <c r="AI438" s="24"/>
      <c r="AJ438" s="22"/>
      <c r="AK438" s="22"/>
    </row>
    <row r="439">
      <c r="A439" s="22"/>
      <c r="B439" s="22"/>
      <c r="C439" s="22"/>
      <c r="D439" s="22"/>
      <c r="E439" s="22"/>
      <c r="F439" s="23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3"/>
      <c r="AF439" s="24"/>
      <c r="AG439" s="24"/>
      <c r="AH439" s="24"/>
      <c r="AI439" s="24"/>
      <c r="AJ439" s="22"/>
      <c r="AK439" s="22"/>
    </row>
    <row r="440">
      <c r="A440" s="22"/>
      <c r="B440" s="22"/>
      <c r="C440" s="22"/>
      <c r="D440" s="22"/>
      <c r="E440" s="22"/>
      <c r="F440" s="23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3"/>
      <c r="AF440" s="24"/>
      <c r="AG440" s="24"/>
      <c r="AH440" s="24"/>
      <c r="AI440" s="24"/>
      <c r="AJ440" s="22"/>
      <c r="AK440" s="22"/>
    </row>
    <row r="441">
      <c r="A441" s="22"/>
      <c r="B441" s="22"/>
      <c r="C441" s="22"/>
      <c r="D441" s="22"/>
      <c r="E441" s="22"/>
      <c r="F441" s="23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3"/>
      <c r="AF441" s="24"/>
      <c r="AG441" s="24"/>
      <c r="AH441" s="24"/>
      <c r="AI441" s="24"/>
      <c r="AJ441" s="22"/>
      <c r="AK441" s="22"/>
    </row>
    <row r="442">
      <c r="A442" s="22"/>
      <c r="B442" s="22"/>
      <c r="C442" s="22"/>
      <c r="D442" s="22"/>
      <c r="E442" s="22"/>
      <c r="F442" s="23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3"/>
      <c r="AF442" s="24"/>
      <c r="AG442" s="24"/>
      <c r="AH442" s="24"/>
      <c r="AI442" s="24"/>
      <c r="AJ442" s="22"/>
      <c r="AK442" s="22"/>
    </row>
    <row r="443">
      <c r="A443" s="22"/>
      <c r="B443" s="22"/>
      <c r="C443" s="22"/>
      <c r="D443" s="22"/>
      <c r="E443" s="22"/>
      <c r="F443" s="23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3"/>
      <c r="AF443" s="24"/>
      <c r="AG443" s="24"/>
      <c r="AH443" s="24"/>
      <c r="AI443" s="24"/>
      <c r="AJ443" s="22"/>
      <c r="AK443" s="22"/>
    </row>
    <row r="444">
      <c r="A444" s="22"/>
      <c r="B444" s="22"/>
      <c r="C444" s="22"/>
      <c r="D444" s="22"/>
      <c r="E444" s="22"/>
      <c r="F444" s="23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3"/>
      <c r="AF444" s="24"/>
      <c r="AG444" s="24"/>
      <c r="AH444" s="24"/>
      <c r="AI444" s="24"/>
      <c r="AJ444" s="22"/>
      <c r="AK444" s="22"/>
    </row>
    <row r="445">
      <c r="A445" s="22"/>
      <c r="B445" s="22"/>
      <c r="C445" s="22"/>
      <c r="D445" s="22"/>
      <c r="E445" s="22"/>
      <c r="F445" s="23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3"/>
      <c r="AF445" s="24"/>
      <c r="AG445" s="24"/>
      <c r="AH445" s="24"/>
      <c r="AI445" s="24"/>
      <c r="AJ445" s="22"/>
      <c r="AK445" s="22"/>
    </row>
    <row r="446">
      <c r="A446" s="22"/>
      <c r="B446" s="22"/>
      <c r="C446" s="22"/>
      <c r="D446" s="22"/>
      <c r="E446" s="22"/>
      <c r="F446" s="23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3"/>
      <c r="AF446" s="24"/>
      <c r="AG446" s="24"/>
      <c r="AH446" s="24"/>
      <c r="AI446" s="24"/>
      <c r="AJ446" s="22"/>
      <c r="AK446" s="22"/>
    </row>
    <row r="447">
      <c r="A447" s="22"/>
      <c r="B447" s="22"/>
      <c r="C447" s="22"/>
      <c r="D447" s="22"/>
      <c r="E447" s="22"/>
      <c r="F447" s="23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3"/>
      <c r="AF447" s="24"/>
      <c r="AG447" s="24"/>
      <c r="AH447" s="24"/>
      <c r="AI447" s="24"/>
      <c r="AJ447" s="22"/>
      <c r="AK447" s="22"/>
    </row>
    <row r="448">
      <c r="A448" s="22"/>
      <c r="B448" s="22"/>
      <c r="C448" s="22"/>
      <c r="D448" s="22"/>
      <c r="E448" s="22"/>
      <c r="F448" s="23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3"/>
      <c r="AF448" s="24"/>
      <c r="AG448" s="24"/>
      <c r="AH448" s="24"/>
      <c r="AI448" s="24"/>
      <c r="AJ448" s="22"/>
      <c r="AK448" s="22"/>
    </row>
    <row r="449">
      <c r="A449" s="22"/>
      <c r="B449" s="22"/>
      <c r="C449" s="22"/>
      <c r="D449" s="22"/>
      <c r="E449" s="22"/>
      <c r="F449" s="23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3"/>
      <c r="AF449" s="24"/>
      <c r="AG449" s="24"/>
      <c r="AH449" s="24"/>
      <c r="AI449" s="24"/>
      <c r="AJ449" s="22"/>
      <c r="AK449" s="22"/>
    </row>
    <row r="450">
      <c r="A450" s="22"/>
      <c r="B450" s="22"/>
      <c r="C450" s="22"/>
      <c r="D450" s="22"/>
      <c r="E450" s="22"/>
      <c r="F450" s="23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3"/>
      <c r="AF450" s="24"/>
      <c r="AG450" s="24"/>
      <c r="AH450" s="24"/>
      <c r="AI450" s="24"/>
      <c r="AJ450" s="22"/>
      <c r="AK450" s="22"/>
    </row>
    <row r="451">
      <c r="A451" s="22"/>
      <c r="B451" s="22"/>
      <c r="C451" s="22"/>
      <c r="D451" s="22"/>
      <c r="E451" s="22"/>
      <c r="F451" s="23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3"/>
      <c r="AF451" s="24"/>
      <c r="AG451" s="24"/>
      <c r="AH451" s="24"/>
      <c r="AI451" s="24"/>
      <c r="AJ451" s="22"/>
      <c r="AK451" s="22"/>
    </row>
    <row r="452">
      <c r="A452" s="22"/>
      <c r="B452" s="22"/>
      <c r="C452" s="22"/>
      <c r="D452" s="22"/>
      <c r="E452" s="22"/>
      <c r="F452" s="23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3"/>
      <c r="AF452" s="24"/>
      <c r="AG452" s="24"/>
      <c r="AH452" s="24"/>
      <c r="AI452" s="24"/>
      <c r="AJ452" s="22"/>
      <c r="AK452" s="22"/>
    </row>
    <row r="453">
      <c r="A453" s="22"/>
      <c r="B453" s="22"/>
      <c r="C453" s="22"/>
      <c r="D453" s="22"/>
      <c r="E453" s="22"/>
      <c r="F453" s="23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3"/>
      <c r="AF453" s="24"/>
      <c r="AG453" s="24"/>
      <c r="AH453" s="24"/>
      <c r="AI453" s="24"/>
      <c r="AJ453" s="22"/>
      <c r="AK453" s="22"/>
    </row>
    <row r="454">
      <c r="A454" s="22"/>
      <c r="B454" s="22"/>
      <c r="C454" s="22"/>
      <c r="D454" s="22"/>
      <c r="E454" s="22"/>
      <c r="F454" s="23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3"/>
      <c r="AF454" s="24"/>
      <c r="AG454" s="24"/>
      <c r="AH454" s="24"/>
      <c r="AI454" s="24"/>
      <c r="AJ454" s="22"/>
      <c r="AK454" s="22"/>
    </row>
    <row r="455">
      <c r="A455" s="22"/>
      <c r="B455" s="22"/>
      <c r="C455" s="22"/>
      <c r="D455" s="22"/>
      <c r="E455" s="22"/>
      <c r="F455" s="23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3"/>
      <c r="AF455" s="24"/>
      <c r="AG455" s="24"/>
      <c r="AH455" s="24"/>
      <c r="AI455" s="24"/>
      <c r="AJ455" s="22"/>
      <c r="AK455" s="22"/>
    </row>
    <row r="456">
      <c r="A456" s="22"/>
      <c r="B456" s="22"/>
      <c r="C456" s="22"/>
      <c r="D456" s="22"/>
      <c r="E456" s="22"/>
      <c r="F456" s="23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3"/>
      <c r="AF456" s="24"/>
      <c r="AG456" s="24"/>
      <c r="AH456" s="24"/>
      <c r="AI456" s="24"/>
      <c r="AJ456" s="22"/>
      <c r="AK456" s="22"/>
    </row>
    <row r="457">
      <c r="A457" s="22"/>
      <c r="B457" s="22"/>
      <c r="C457" s="22"/>
      <c r="D457" s="22"/>
      <c r="E457" s="22"/>
      <c r="F457" s="23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3"/>
      <c r="AF457" s="24"/>
      <c r="AG457" s="24"/>
      <c r="AH457" s="24"/>
      <c r="AI457" s="24"/>
      <c r="AJ457" s="22"/>
      <c r="AK457" s="22"/>
    </row>
    <row r="458">
      <c r="A458" s="22"/>
      <c r="B458" s="22"/>
      <c r="C458" s="22"/>
      <c r="D458" s="22"/>
      <c r="E458" s="22"/>
      <c r="F458" s="23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3"/>
      <c r="AF458" s="24"/>
      <c r="AG458" s="24"/>
      <c r="AH458" s="24"/>
      <c r="AI458" s="24"/>
      <c r="AJ458" s="22"/>
      <c r="AK458" s="22"/>
    </row>
    <row r="459">
      <c r="A459" s="22"/>
      <c r="B459" s="22"/>
      <c r="C459" s="22"/>
      <c r="D459" s="22"/>
      <c r="E459" s="22"/>
      <c r="F459" s="23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3"/>
      <c r="AF459" s="24"/>
      <c r="AG459" s="24"/>
      <c r="AH459" s="24"/>
      <c r="AI459" s="24"/>
      <c r="AJ459" s="22"/>
      <c r="AK459" s="22"/>
    </row>
    <row r="460">
      <c r="A460" s="22"/>
      <c r="B460" s="22"/>
      <c r="C460" s="22"/>
      <c r="D460" s="22"/>
      <c r="E460" s="22"/>
      <c r="F460" s="23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3"/>
      <c r="AF460" s="24"/>
      <c r="AG460" s="24"/>
      <c r="AH460" s="24"/>
      <c r="AI460" s="24"/>
      <c r="AJ460" s="22"/>
      <c r="AK460" s="22"/>
    </row>
    <row r="461">
      <c r="A461" s="22"/>
      <c r="B461" s="22"/>
      <c r="C461" s="22"/>
      <c r="D461" s="22"/>
      <c r="E461" s="22"/>
      <c r="F461" s="23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3"/>
      <c r="AF461" s="24"/>
      <c r="AG461" s="24"/>
      <c r="AH461" s="24"/>
      <c r="AI461" s="24"/>
      <c r="AJ461" s="22"/>
      <c r="AK461" s="22"/>
    </row>
    <row r="462">
      <c r="A462" s="22"/>
      <c r="B462" s="22"/>
      <c r="C462" s="22"/>
      <c r="D462" s="22"/>
      <c r="E462" s="22"/>
      <c r="F462" s="23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3"/>
      <c r="AF462" s="24"/>
      <c r="AG462" s="24"/>
      <c r="AH462" s="24"/>
      <c r="AI462" s="24"/>
      <c r="AJ462" s="22"/>
      <c r="AK462" s="22"/>
    </row>
    <row r="463">
      <c r="A463" s="22"/>
      <c r="B463" s="22"/>
      <c r="C463" s="22"/>
      <c r="D463" s="22"/>
      <c r="E463" s="22"/>
      <c r="F463" s="23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3"/>
      <c r="AF463" s="24"/>
      <c r="AG463" s="24"/>
      <c r="AH463" s="24"/>
      <c r="AI463" s="24"/>
      <c r="AJ463" s="22"/>
      <c r="AK463" s="22"/>
    </row>
    <row r="464">
      <c r="A464" s="22"/>
      <c r="B464" s="22"/>
      <c r="C464" s="22"/>
      <c r="D464" s="22"/>
      <c r="E464" s="22"/>
      <c r="F464" s="23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3"/>
      <c r="AF464" s="24"/>
      <c r="AG464" s="24"/>
      <c r="AH464" s="24"/>
      <c r="AI464" s="24"/>
      <c r="AJ464" s="22"/>
      <c r="AK464" s="22"/>
    </row>
    <row r="465">
      <c r="A465" s="22"/>
      <c r="B465" s="22"/>
      <c r="C465" s="22"/>
      <c r="D465" s="22"/>
      <c r="E465" s="22"/>
      <c r="F465" s="23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3"/>
      <c r="AF465" s="24"/>
      <c r="AG465" s="24"/>
      <c r="AH465" s="24"/>
      <c r="AI465" s="24"/>
      <c r="AJ465" s="22"/>
      <c r="AK465" s="22"/>
    </row>
    <row r="466">
      <c r="A466" s="22"/>
      <c r="B466" s="22"/>
      <c r="C466" s="22"/>
      <c r="D466" s="22"/>
      <c r="E466" s="22"/>
      <c r="F466" s="23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3"/>
      <c r="AF466" s="24"/>
      <c r="AG466" s="24"/>
      <c r="AH466" s="24"/>
      <c r="AI466" s="24"/>
      <c r="AJ466" s="22"/>
      <c r="AK466" s="22"/>
    </row>
    <row r="467">
      <c r="A467" s="22"/>
      <c r="B467" s="22"/>
      <c r="C467" s="22"/>
      <c r="D467" s="22"/>
      <c r="E467" s="22"/>
      <c r="F467" s="23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3"/>
      <c r="AF467" s="24"/>
      <c r="AG467" s="24"/>
      <c r="AH467" s="24"/>
      <c r="AI467" s="24"/>
      <c r="AJ467" s="22"/>
      <c r="AK467" s="22"/>
    </row>
    <row r="468">
      <c r="A468" s="22"/>
      <c r="B468" s="22"/>
      <c r="C468" s="22"/>
      <c r="D468" s="22"/>
      <c r="E468" s="22"/>
      <c r="F468" s="23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3"/>
      <c r="AF468" s="24"/>
      <c r="AG468" s="24"/>
      <c r="AH468" s="24"/>
      <c r="AI468" s="24"/>
      <c r="AJ468" s="22"/>
      <c r="AK468" s="22"/>
    </row>
    <row r="469">
      <c r="A469" s="22"/>
      <c r="B469" s="22"/>
      <c r="C469" s="22"/>
      <c r="D469" s="22"/>
      <c r="E469" s="22"/>
      <c r="F469" s="23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3"/>
      <c r="AF469" s="24"/>
      <c r="AG469" s="24"/>
      <c r="AH469" s="24"/>
      <c r="AI469" s="24"/>
      <c r="AJ469" s="22"/>
      <c r="AK469" s="22"/>
    </row>
    <row r="470">
      <c r="A470" s="22"/>
      <c r="B470" s="22"/>
      <c r="C470" s="22"/>
      <c r="D470" s="22"/>
      <c r="E470" s="22"/>
      <c r="F470" s="23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3"/>
      <c r="AF470" s="24"/>
      <c r="AG470" s="24"/>
      <c r="AH470" s="24"/>
      <c r="AI470" s="24"/>
      <c r="AJ470" s="22"/>
      <c r="AK470" s="22"/>
    </row>
    <row r="471">
      <c r="A471" s="22"/>
      <c r="B471" s="22"/>
      <c r="C471" s="22"/>
      <c r="D471" s="22"/>
      <c r="E471" s="22"/>
      <c r="F471" s="23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3"/>
      <c r="AF471" s="24"/>
      <c r="AG471" s="24"/>
      <c r="AH471" s="24"/>
      <c r="AI471" s="24"/>
      <c r="AJ471" s="22"/>
      <c r="AK471" s="22"/>
    </row>
    <row r="472">
      <c r="A472" s="22"/>
      <c r="B472" s="22"/>
      <c r="C472" s="22"/>
      <c r="D472" s="22"/>
      <c r="E472" s="22"/>
      <c r="F472" s="23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3"/>
      <c r="AF472" s="24"/>
      <c r="AG472" s="24"/>
      <c r="AH472" s="24"/>
      <c r="AI472" s="24"/>
      <c r="AJ472" s="22"/>
      <c r="AK472" s="22"/>
    </row>
    <row r="473">
      <c r="A473" s="22"/>
      <c r="B473" s="22"/>
      <c r="C473" s="22"/>
      <c r="D473" s="22"/>
      <c r="E473" s="22"/>
      <c r="F473" s="23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3"/>
      <c r="AF473" s="24"/>
      <c r="AG473" s="24"/>
      <c r="AH473" s="24"/>
      <c r="AI473" s="24"/>
      <c r="AJ473" s="22"/>
      <c r="AK473" s="22"/>
    </row>
    <row r="474">
      <c r="A474" s="22"/>
      <c r="B474" s="22"/>
      <c r="C474" s="22"/>
      <c r="D474" s="22"/>
      <c r="E474" s="22"/>
      <c r="F474" s="23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3"/>
      <c r="AF474" s="24"/>
      <c r="AG474" s="24"/>
      <c r="AH474" s="24"/>
      <c r="AI474" s="24"/>
      <c r="AJ474" s="22"/>
      <c r="AK474" s="22"/>
    </row>
    <row r="475">
      <c r="A475" s="22"/>
      <c r="B475" s="22"/>
      <c r="C475" s="22"/>
      <c r="D475" s="22"/>
      <c r="E475" s="22"/>
      <c r="F475" s="23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3"/>
      <c r="AF475" s="24"/>
      <c r="AG475" s="24"/>
      <c r="AH475" s="24"/>
      <c r="AI475" s="24"/>
      <c r="AJ475" s="22"/>
      <c r="AK475" s="22"/>
    </row>
    <row r="476">
      <c r="A476" s="22"/>
      <c r="B476" s="22"/>
      <c r="C476" s="22"/>
      <c r="D476" s="22"/>
      <c r="E476" s="22"/>
      <c r="F476" s="23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3"/>
      <c r="AF476" s="24"/>
      <c r="AG476" s="24"/>
      <c r="AH476" s="24"/>
      <c r="AI476" s="24"/>
      <c r="AJ476" s="22"/>
      <c r="AK476" s="22"/>
    </row>
    <row r="477">
      <c r="A477" s="22"/>
      <c r="B477" s="22"/>
      <c r="C477" s="22"/>
      <c r="D477" s="22"/>
      <c r="E477" s="22"/>
      <c r="F477" s="23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3"/>
      <c r="AF477" s="24"/>
      <c r="AG477" s="24"/>
      <c r="AH477" s="24"/>
      <c r="AI477" s="24"/>
      <c r="AJ477" s="22"/>
      <c r="AK477" s="22"/>
    </row>
    <row r="478">
      <c r="A478" s="22"/>
      <c r="B478" s="22"/>
      <c r="C478" s="22"/>
      <c r="D478" s="22"/>
      <c r="E478" s="22"/>
      <c r="F478" s="23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3"/>
      <c r="AF478" s="24"/>
      <c r="AG478" s="24"/>
      <c r="AH478" s="24"/>
      <c r="AI478" s="24"/>
      <c r="AJ478" s="22"/>
      <c r="AK478" s="22"/>
    </row>
    <row r="479">
      <c r="A479" s="22"/>
      <c r="B479" s="22"/>
      <c r="C479" s="22"/>
      <c r="D479" s="22"/>
      <c r="E479" s="22"/>
      <c r="F479" s="23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3"/>
      <c r="AF479" s="24"/>
      <c r="AG479" s="24"/>
      <c r="AH479" s="24"/>
      <c r="AI479" s="24"/>
      <c r="AJ479" s="22"/>
      <c r="AK479" s="22"/>
    </row>
    <row r="480">
      <c r="A480" s="22"/>
      <c r="B480" s="22"/>
      <c r="C480" s="22"/>
      <c r="D480" s="22"/>
      <c r="E480" s="22"/>
      <c r="F480" s="23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3"/>
      <c r="AF480" s="24"/>
      <c r="AG480" s="24"/>
      <c r="AH480" s="24"/>
      <c r="AI480" s="24"/>
      <c r="AJ480" s="22"/>
      <c r="AK480" s="22"/>
    </row>
    <row r="481">
      <c r="A481" s="22"/>
      <c r="B481" s="22"/>
      <c r="C481" s="22"/>
      <c r="D481" s="22"/>
      <c r="E481" s="22"/>
      <c r="F481" s="23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3"/>
      <c r="AF481" s="24"/>
      <c r="AG481" s="24"/>
      <c r="AH481" s="24"/>
      <c r="AI481" s="24"/>
      <c r="AJ481" s="22"/>
      <c r="AK481" s="22"/>
    </row>
    <row r="482">
      <c r="A482" s="22"/>
      <c r="B482" s="22"/>
      <c r="C482" s="22"/>
      <c r="D482" s="22"/>
      <c r="E482" s="22"/>
      <c r="F482" s="23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3"/>
      <c r="AF482" s="24"/>
      <c r="AG482" s="24"/>
      <c r="AH482" s="24"/>
      <c r="AI482" s="24"/>
      <c r="AJ482" s="22"/>
      <c r="AK482" s="22"/>
    </row>
    <row r="483">
      <c r="A483" s="22"/>
      <c r="B483" s="22"/>
      <c r="C483" s="22"/>
      <c r="D483" s="22"/>
      <c r="E483" s="22"/>
      <c r="F483" s="23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3"/>
      <c r="AF483" s="24"/>
      <c r="AG483" s="24"/>
      <c r="AH483" s="24"/>
      <c r="AI483" s="24"/>
      <c r="AJ483" s="22"/>
      <c r="AK483" s="22"/>
    </row>
    <row r="484">
      <c r="A484" s="22"/>
      <c r="B484" s="22"/>
      <c r="C484" s="22"/>
      <c r="D484" s="22"/>
      <c r="E484" s="22"/>
      <c r="F484" s="23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3"/>
      <c r="AF484" s="24"/>
      <c r="AG484" s="24"/>
      <c r="AH484" s="24"/>
      <c r="AI484" s="24"/>
      <c r="AJ484" s="22"/>
      <c r="AK484" s="22"/>
    </row>
    <row r="485">
      <c r="A485" s="22"/>
      <c r="B485" s="22"/>
      <c r="C485" s="22"/>
      <c r="D485" s="22"/>
      <c r="E485" s="22"/>
      <c r="F485" s="23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3"/>
      <c r="AF485" s="24"/>
      <c r="AG485" s="24"/>
      <c r="AH485" s="24"/>
      <c r="AI485" s="24"/>
      <c r="AJ485" s="22"/>
      <c r="AK485" s="22"/>
    </row>
    <row r="486">
      <c r="A486" s="22"/>
      <c r="B486" s="22"/>
      <c r="C486" s="22"/>
      <c r="D486" s="22"/>
      <c r="E486" s="22"/>
      <c r="F486" s="23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3"/>
      <c r="AF486" s="24"/>
      <c r="AG486" s="24"/>
      <c r="AH486" s="24"/>
      <c r="AI486" s="24"/>
      <c r="AJ486" s="22"/>
      <c r="AK486" s="22"/>
    </row>
    <row r="487">
      <c r="A487" s="22"/>
      <c r="B487" s="22"/>
      <c r="C487" s="22"/>
      <c r="D487" s="22"/>
      <c r="E487" s="22"/>
      <c r="F487" s="23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3"/>
      <c r="AF487" s="24"/>
      <c r="AG487" s="24"/>
      <c r="AH487" s="24"/>
      <c r="AI487" s="24"/>
      <c r="AJ487" s="22"/>
      <c r="AK487" s="22"/>
    </row>
    <row r="488">
      <c r="A488" s="22"/>
      <c r="B488" s="22"/>
      <c r="C488" s="22"/>
      <c r="D488" s="22"/>
      <c r="E488" s="22"/>
      <c r="F488" s="23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3"/>
      <c r="AF488" s="24"/>
      <c r="AG488" s="24"/>
      <c r="AH488" s="24"/>
      <c r="AI488" s="24"/>
      <c r="AJ488" s="22"/>
      <c r="AK488" s="22"/>
    </row>
    <row r="489">
      <c r="A489" s="22"/>
      <c r="B489" s="22"/>
      <c r="C489" s="22"/>
      <c r="D489" s="22"/>
      <c r="E489" s="22"/>
      <c r="F489" s="23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3"/>
      <c r="AF489" s="24"/>
      <c r="AG489" s="24"/>
      <c r="AH489" s="24"/>
      <c r="AI489" s="24"/>
      <c r="AJ489" s="22"/>
      <c r="AK489" s="22"/>
    </row>
    <row r="490">
      <c r="A490" s="22"/>
      <c r="B490" s="22"/>
      <c r="C490" s="22"/>
      <c r="D490" s="22"/>
      <c r="E490" s="22"/>
      <c r="F490" s="23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3"/>
      <c r="AF490" s="24"/>
      <c r="AG490" s="24"/>
      <c r="AH490" s="24"/>
      <c r="AI490" s="24"/>
      <c r="AJ490" s="22"/>
      <c r="AK490" s="22"/>
    </row>
    <row r="491">
      <c r="A491" s="22"/>
      <c r="B491" s="22"/>
      <c r="C491" s="22"/>
      <c r="D491" s="22"/>
      <c r="E491" s="22"/>
      <c r="F491" s="23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3"/>
      <c r="AF491" s="24"/>
      <c r="AG491" s="24"/>
      <c r="AH491" s="24"/>
      <c r="AI491" s="24"/>
      <c r="AJ491" s="22"/>
      <c r="AK491" s="22"/>
    </row>
    <row r="492">
      <c r="A492" s="22"/>
      <c r="B492" s="22"/>
      <c r="C492" s="22"/>
      <c r="D492" s="22"/>
      <c r="E492" s="22"/>
      <c r="F492" s="23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3"/>
      <c r="AF492" s="24"/>
      <c r="AG492" s="24"/>
      <c r="AH492" s="24"/>
      <c r="AI492" s="24"/>
      <c r="AJ492" s="22"/>
      <c r="AK492" s="22"/>
    </row>
    <row r="493">
      <c r="A493" s="22"/>
      <c r="B493" s="22"/>
      <c r="C493" s="22"/>
      <c r="D493" s="22"/>
      <c r="E493" s="22"/>
      <c r="F493" s="23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3"/>
      <c r="AF493" s="24"/>
      <c r="AG493" s="24"/>
      <c r="AH493" s="24"/>
      <c r="AI493" s="24"/>
      <c r="AJ493" s="22"/>
      <c r="AK493" s="22"/>
    </row>
    <row r="494">
      <c r="A494" s="22"/>
      <c r="B494" s="22"/>
      <c r="C494" s="22"/>
      <c r="D494" s="22"/>
      <c r="E494" s="22"/>
      <c r="F494" s="23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3"/>
      <c r="AF494" s="24"/>
      <c r="AG494" s="24"/>
      <c r="AH494" s="24"/>
      <c r="AI494" s="24"/>
      <c r="AJ494" s="22"/>
      <c r="AK494" s="22"/>
    </row>
    <row r="495">
      <c r="A495" s="22"/>
      <c r="B495" s="22"/>
      <c r="C495" s="22"/>
      <c r="D495" s="22"/>
      <c r="E495" s="22"/>
      <c r="F495" s="23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3"/>
      <c r="AF495" s="24"/>
      <c r="AG495" s="24"/>
      <c r="AH495" s="24"/>
      <c r="AI495" s="24"/>
      <c r="AJ495" s="22"/>
      <c r="AK495" s="22"/>
    </row>
    <row r="496">
      <c r="A496" s="22"/>
      <c r="B496" s="22"/>
      <c r="C496" s="22"/>
      <c r="D496" s="22"/>
      <c r="E496" s="22"/>
      <c r="F496" s="23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3"/>
      <c r="AF496" s="24"/>
      <c r="AG496" s="24"/>
      <c r="AH496" s="24"/>
      <c r="AI496" s="24"/>
      <c r="AJ496" s="22"/>
      <c r="AK496" s="22"/>
    </row>
    <row r="497">
      <c r="A497" s="22"/>
      <c r="B497" s="22"/>
      <c r="C497" s="22"/>
      <c r="D497" s="22"/>
      <c r="E497" s="22"/>
      <c r="F497" s="23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3"/>
      <c r="AF497" s="24"/>
      <c r="AG497" s="24"/>
      <c r="AH497" s="24"/>
      <c r="AI497" s="24"/>
      <c r="AJ497" s="22"/>
      <c r="AK497" s="22"/>
    </row>
    <row r="498">
      <c r="A498" s="22"/>
      <c r="B498" s="22"/>
      <c r="C498" s="22"/>
      <c r="D498" s="22"/>
      <c r="E498" s="22"/>
      <c r="F498" s="23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3"/>
      <c r="AF498" s="24"/>
      <c r="AG498" s="24"/>
      <c r="AH498" s="24"/>
      <c r="AI498" s="24"/>
      <c r="AJ498" s="22"/>
      <c r="AK498" s="22"/>
    </row>
    <row r="499">
      <c r="A499" s="22"/>
      <c r="B499" s="22"/>
      <c r="C499" s="22"/>
      <c r="D499" s="22"/>
      <c r="E499" s="22"/>
      <c r="F499" s="23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3"/>
      <c r="AF499" s="24"/>
      <c r="AG499" s="24"/>
      <c r="AH499" s="24"/>
      <c r="AI499" s="24"/>
      <c r="AJ499" s="22"/>
      <c r="AK499" s="22"/>
    </row>
    <row r="500">
      <c r="A500" s="22"/>
      <c r="B500" s="22"/>
      <c r="C500" s="22"/>
      <c r="D500" s="22"/>
      <c r="E500" s="22"/>
      <c r="F500" s="23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3"/>
      <c r="AF500" s="24"/>
      <c r="AG500" s="24"/>
      <c r="AH500" s="24"/>
      <c r="AI500" s="24"/>
      <c r="AJ500" s="22"/>
      <c r="AK500" s="22"/>
    </row>
    <row r="501">
      <c r="A501" s="22"/>
      <c r="B501" s="22"/>
      <c r="C501" s="22"/>
      <c r="D501" s="22"/>
      <c r="E501" s="22"/>
      <c r="F501" s="23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3"/>
      <c r="AF501" s="24"/>
      <c r="AG501" s="24"/>
      <c r="AH501" s="24"/>
      <c r="AI501" s="24"/>
      <c r="AJ501" s="22"/>
      <c r="AK501" s="22"/>
    </row>
    <row r="502">
      <c r="A502" s="22"/>
      <c r="B502" s="22"/>
      <c r="C502" s="22"/>
      <c r="D502" s="22"/>
      <c r="E502" s="22"/>
      <c r="F502" s="23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3"/>
      <c r="AF502" s="24"/>
      <c r="AG502" s="24"/>
      <c r="AH502" s="24"/>
      <c r="AI502" s="24"/>
      <c r="AJ502" s="22"/>
      <c r="AK502" s="22"/>
    </row>
    <row r="503">
      <c r="A503" s="22"/>
      <c r="B503" s="22"/>
      <c r="C503" s="22"/>
      <c r="D503" s="22"/>
      <c r="E503" s="22"/>
      <c r="F503" s="23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3"/>
      <c r="AF503" s="24"/>
      <c r="AG503" s="24"/>
      <c r="AH503" s="24"/>
      <c r="AI503" s="24"/>
      <c r="AJ503" s="22"/>
      <c r="AK503" s="22"/>
    </row>
    <row r="504">
      <c r="A504" s="22"/>
      <c r="B504" s="22"/>
      <c r="C504" s="22"/>
      <c r="D504" s="22"/>
      <c r="E504" s="22"/>
      <c r="F504" s="23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3"/>
      <c r="AF504" s="24"/>
      <c r="AG504" s="24"/>
      <c r="AH504" s="24"/>
      <c r="AI504" s="24"/>
      <c r="AJ504" s="22"/>
      <c r="AK504" s="22"/>
    </row>
    <row r="505">
      <c r="A505" s="22"/>
      <c r="B505" s="22"/>
      <c r="C505" s="22"/>
      <c r="D505" s="22"/>
      <c r="E505" s="22"/>
      <c r="F505" s="23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3"/>
      <c r="AF505" s="24"/>
      <c r="AG505" s="24"/>
      <c r="AH505" s="24"/>
      <c r="AI505" s="24"/>
      <c r="AJ505" s="22"/>
      <c r="AK505" s="22"/>
    </row>
    <row r="506">
      <c r="A506" s="22"/>
      <c r="B506" s="22"/>
      <c r="C506" s="22"/>
      <c r="D506" s="22"/>
      <c r="E506" s="22"/>
      <c r="F506" s="23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3"/>
      <c r="AF506" s="24"/>
      <c r="AG506" s="24"/>
      <c r="AH506" s="24"/>
      <c r="AI506" s="24"/>
      <c r="AJ506" s="22"/>
      <c r="AK506" s="22"/>
    </row>
    <row r="507">
      <c r="A507" s="22"/>
      <c r="B507" s="22"/>
      <c r="C507" s="22"/>
      <c r="D507" s="22"/>
      <c r="E507" s="22"/>
      <c r="F507" s="23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3"/>
      <c r="AF507" s="24"/>
      <c r="AG507" s="24"/>
      <c r="AH507" s="24"/>
      <c r="AI507" s="24"/>
      <c r="AJ507" s="22"/>
      <c r="AK507" s="22"/>
    </row>
    <row r="508">
      <c r="A508" s="22"/>
      <c r="B508" s="22"/>
      <c r="C508" s="22"/>
      <c r="D508" s="22"/>
      <c r="E508" s="22"/>
      <c r="F508" s="23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3"/>
      <c r="AF508" s="24"/>
      <c r="AG508" s="24"/>
      <c r="AH508" s="24"/>
      <c r="AI508" s="24"/>
      <c r="AJ508" s="22"/>
      <c r="AK508" s="22"/>
    </row>
    <row r="509">
      <c r="A509" s="22"/>
      <c r="B509" s="22"/>
      <c r="C509" s="22"/>
      <c r="D509" s="22"/>
      <c r="E509" s="22"/>
      <c r="F509" s="23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3"/>
      <c r="AF509" s="24"/>
      <c r="AG509" s="24"/>
      <c r="AH509" s="24"/>
      <c r="AI509" s="24"/>
      <c r="AJ509" s="22"/>
      <c r="AK509" s="22"/>
    </row>
    <row r="510">
      <c r="A510" s="22"/>
      <c r="B510" s="22"/>
      <c r="C510" s="22"/>
      <c r="D510" s="22"/>
      <c r="E510" s="22"/>
      <c r="F510" s="23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3"/>
      <c r="AF510" s="24"/>
      <c r="AG510" s="24"/>
      <c r="AH510" s="24"/>
      <c r="AI510" s="24"/>
      <c r="AJ510" s="22"/>
      <c r="AK510" s="22"/>
    </row>
    <row r="511">
      <c r="A511" s="22"/>
      <c r="B511" s="22"/>
      <c r="C511" s="22"/>
      <c r="D511" s="22"/>
      <c r="E511" s="22"/>
      <c r="F511" s="23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3"/>
      <c r="AF511" s="24"/>
      <c r="AG511" s="24"/>
      <c r="AH511" s="24"/>
      <c r="AI511" s="24"/>
      <c r="AJ511" s="22"/>
      <c r="AK511" s="22"/>
    </row>
    <row r="512">
      <c r="A512" s="22"/>
      <c r="B512" s="22"/>
      <c r="C512" s="22"/>
      <c r="D512" s="22"/>
      <c r="E512" s="22"/>
      <c r="F512" s="23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3"/>
      <c r="AF512" s="24"/>
      <c r="AG512" s="24"/>
      <c r="AH512" s="24"/>
      <c r="AI512" s="24"/>
      <c r="AJ512" s="22"/>
      <c r="AK512" s="22"/>
    </row>
    <row r="513">
      <c r="A513" s="22"/>
      <c r="B513" s="22"/>
      <c r="C513" s="22"/>
      <c r="D513" s="22"/>
      <c r="E513" s="22"/>
      <c r="F513" s="23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3"/>
      <c r="AF513" s="24"/>
      <c r="AG513" s="24"/>
      <c r="AH513" s="24"/>
      <c r="AI513" s="24"/>
      <c r="AJ513" s="22"/>
      <c r="AK513" s="22"/>
    </row>
    <row r="514">
      <c r="A514" s="22"/>
      <c r="B514" s="22"/>
      <c r="C514" s="22"/>
      <c r="D514" s="22"/>
      <c r="E514" s="22"/>
      <c r="F514" s="23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3"/>
      <c r="AF514" s="24"/>
      <c r="AG514" s="24"/>
      <c r="AH514" s="24"/>
      <c r="AI514" s="24"/>
      <c r="AJ514" s="22"/>
      <c r="AK514" s="22"/>
    </row>
    <row r="515">
      <c r="A515" s="22"/>
      <c r="B515" s="22"/>
      <c r="C515" s="22"/>
      <c r="D515" s="22"/>
      <c r="E515" s="22"/>
      <c r="F515" s="23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3"/>
      <c r="AF515" s="24"/>
      <c r="AG515" s="24"/>
      <c r="AH515" s="24"/>
      <c r="AI515" s="24"/>
      <c r="AJ515" s="22"/>
      <c r="AK515" s="22"/>
    </row>
    <row r="516">
      <c r="A516" s="22"/>
      <c r="B516" s="22"/>
      <c r="C516" s="22"/>
      <c r="D516" s="22"/>
      <c r="E516" s="22"/>
      <c r="F516" s="23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3"/>
      <c r="AF516" s="24"/>
      <c r="AG516" s="24"/>
      <c r="AH516" s="24"/>
      <c r="AI516" s="24"/>
      <c r="AJ516" s="22"/>
      <c r="AK516" s="22"/>
    </row>
    <row r="517">
      <c r="A517" s="22"/>
      <c r="B517" s="22"/>
      <c r="C517" s="22"/>
      <c r="D517" s="22"/>
      <c r="E517" s="22"/>
      <c r="F517" s="23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3"/>
      <c r="AF517" s="24"/>
      <c r="AG517" s="24"/>
      <c r="AH517" s="24"/>
      <c r="AI517" s="24"/>
      <c r="AJ517" s="22"/>
      <c r="AK517" s="22"/>
    </row>
    <row r="518">
      <c r="A518" s="22"/>
      <c r="B518" s="22"/>
      <c r="C518" s="22"/>
      <c r="D518" s="22"/>
      <c r="E518" s="22"/>
      <c r="F518" s="23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3"/>
      <c r="AF518" s="24"/>
      <c r="AG518" s="24"/>
      <c r="AH518" s="24"/>
      <c r="AI518" s="24"/>
      <c r="AJ518" s="22"/>
      <c r="AK518" s="22"/>
    </row>
    <row r="519">
      <c r="A519" s="22"/>
      <c r="B519" s="22"/>
      <c r="C519" s="22"/>
      <c r="D519" s="22"/>
      <c r="E519" s="22"/>
      <c r="F519" s="23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3"/>
      <c r="AF519" s="24"/>
      <c r="AG519" s="24"/>
      <c r="AH519" s="24"/>
      <c r="AI519" s="24"/>
      <c r="AJ519" s="22"/>
      <c r="AK519" s="22"/>
    </row>
    <row r="520">
      <c r="A520" s="22"/>
      <c r="B520" s="22"/>
      <c r="C520" s="22"/>
      <c r="D520" s="22"/>
      <c r="E520" s="22"/>
      <c r="F520" s="23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3"/>
      <c r="AF520" s="24"/>
      <c r="AG520" s="24"/>
      <c r="AH520" s="24"/>
      <c r="AI520" s="24"/>
      <c r="AJ520" s="22"/>
      <c r="AK520" s="22"/>
    </row>
    <row r="521">
      <c r="A521" s="22"/>
      <c r="B521" s="22"/>
      <c r="C521" s="22"/>
      <c r="D521" s="22"/>
      <c r="E521" s="22"/>
      <c r="F521" s="23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3"/>
      <c r="AF521" s="24"/>
      <c r="AG521" s="24"/>
      <c r="AH521" s="24"/>
      <c r="AI521" s="24"/>
      <c r="AJ521" s="22"/>
      <c r="AK521" s="22"/>
    </row>
    <row r="522">
      <c r="A522" s="22"/>
      <c r="B522" s="22"/>
      <c r="C522" s="22"/>
      <c r="D522" s="22"/>
      <c r="E522" s="22"/>
      <c r="F522" s="23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3"/>
      <c r="AF522" s="24"/>
      <c r="AG522" s="24"/>
      <c r="AH522" s="24"/>
      <c r="AI522" s="24"/>
      <c r="AJ522" s="22"/>
      <c r="AK522" s="22"/>
    </row>
    <row r="523">
      <c r="A523" s="22"/>
      <c r="B523" s="22"/>
      <c r="C523" s="22"/>
      <c r="D523" s="22"/>
      <c r="E523" s="22"/>
      <c r="F523" s="23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3"/>
      <c r="AF523" s="24"/>
      <c r="AG523" s="24"/>
      <c r="AH523" s="24"/>
      <c r="AI523" s="24"/>
      <c r="AJ523" s="22"/>
      <c r="AK523" s="22"/>
    </row>
    <row r="524">
      <c r="A524" s="22"/>
      <c r="B524" s="22"/>
      <c r="C524" s="22"/>
      <c r="D524" s="22"/>
      <c r="E524" s="22"/>
      <c r="F524" s="23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3"/>
      <c r="AF524" s="24"/>
      <c r="AG524" s="24"/>
      <c r="AH524" s="24"/>
      <c r="AI524" s="24"/>
      <c r="AJ524" s="22"/>
      <c r="AK524" s="22"/>
    </row>
    <row r="525">
      <c r="A525" s="22"/>
      <c r="B525" s="22"/>
      <c r="C525" s="22"/>
      <c r="D525" s="22"/>
      <c r="E525" s="22"/>
      <c r="F525" s="23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3"/>
      <c r="AF525" s="24"/>
      <c r="AG525" s="24"/>
      <c r="AH525" s="24"/>
      <c r="AI525" s="24"/>
      <c r="AJ525" s="22"/>
      <c r="AK525" s="22"/>
    </row>
    <row r="526">
      <c r="A526" s="22"/>
      <c r="B526" s="22"/>
      <c r="C526" s="22"/>
      <c r="D526" s="22"/>
      <c r="E526" s="22"/>
      <c r="F526" s="23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3"/>
      <c r="AF526" s="24"/>
      <c r="AG526" s="24"/>
      <c r="AH526" s="24"/>
      <c r="AI526" s="24"/>
      <c r="AJ526" s="22"/>
      <c r="AK526" s="22"/>
    </row>
    <row r="527">
      <c r="A527" s="22"/>
      <c r="B527" s="22"/>
      <c r="C527" s="22"/>
      <c r="D527" s="22"/>
      <c r="E527" s="22"/>
      <c r="F527" s="23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3"/>
      <c r="AF527" s="24"/>
      <c r="AG527" s="24"/>
      <c r="AH527" s="24"/>
      <c r="AI527" s="24"/>
      <c r="AJ527" s="22"/>
      <c r="AK527" s="22"/>
    </row>
    <row r="528">
      <c r="A528" s="22"/>
      <c r="B528" s="22"/>
      <c r="C528" s="22"/>
      <c r="D528" s="22"/>
      <c r="E528" s="22"/>
      <c r="F528" s="23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3"/>
      <c r="AF528" s="24"/>
      <c r="AG528" s="24"/>
      <c r="AH528" s="24"/>
      <c r="AI528" s="24"/>
      <c r="AJ528" s="22"/>
      <c r="AK528" s="22"/>
    </row>
    <row r="529">
      <c r="A529" s="22"/>
      <c r="B529" s="22"/>
      <c r="C529" s="22"/>
      <c r="D529" s="22"/>
      <c r="E529" s="22"/>
      <c r="F529" s="23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3"/>
      <c r="AF529" s="24"/>
      <c r="AG529" s="24"/>
      <c r="AH529" s="24"/>
      <c r="AI529" s="24"/>
      <c r="AJ529" s="22"/>
      <c r="AK529" s="22"/>
    </row>
    <row r="530">
      <c r="A530" s="22"/>
      <c r="B530" s="22"/>
      <c r="C530" s="22"/>
      <c r="D530" s="22"/>
      <c r="E530" s="22"/>
      <c r="F530" s="23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3"/>
      <c r="AF530" s="24"/>
      <c r="AG530" s="24"/>
      <c r="AH530" s="24"/>
      <c r="AI530" s="24"/>
      <c r="AJ530" s="22"/>
      <c r="AK530" s="22"/>
    </row>
    <row r="531">
      <c r="A531" s="22"/>
      <c r="B531" s="22"/>
      <c r="C531" s="22"/>
      <c r="D531" s="22"/>
      <c r="E531" s="22"/>
      <c r="F531" s="23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3"/>
      <c r="AF531" s="24"/>
      <c r="AG531" s="24"/>
      <c r="AH531" s="24"/>
      <c r="AI531" s="24"/>
      <c r="AJ531" s="22"/>
      <c r="AK531" s="22"/>
    </row>
    <row r="532">
      <c r="A532" s="22"/>
      <c r="B532" s="22"/>
      <c r="C532" s="22"/>
      <c r="D532" s="22"/>
      <c r="E532" s="22"/>
      <c r="F532" s="23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3"/>
      <c r="AF532" s="24"/>
      <c r="AG532" s="24"/>
      <c r="AH532" s="24"/>
      <c r="AI532" s="24"/>
      <c r="AJ532" s="22"/>
      <c r="AK532" s="22"/>
    </row>
    <row r="533">
      <c r="A533" s="22"/>
      <c r="B533" s="22"/>
      <c r="C533" s="22"/>
      <c r="D533" s="22"/>
      <c r="E533" s="22"/>
      <c r="F533" s="23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3"/>
      <c r="AF533" s="24"/>
      <c r="AG533" s="24"/>
      <c r="AH533" s="24"/>
      <c r="AI533" s="24"/>
      <c r="AJ533" s="22"/>
      <c r="AK533" s="22"/>
    </row>
    <row r="534">
      <c r="A534" s="22"/>
      <c r="B534" s="22"/>
      <c r="C534" s="22"/>
      <c r="D534" s="22"/>
      <c r="E534" s="22"/>
      <c r="F534" s="23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3"/>
      <c r="AF534" s="24"/>
      <c r="AG534" s="24"/>
      <c r="AH534" s="24"/>
      <c r="AI534" s="24"/>
      <c r="AJ534" s="22"/>
      <c r="AK534" s="22"/>
    </row>
    <row r="535">
      <c r="A535" s="22"/>
      <c r="B535" s="22"/>
      <c r="C535" s="22"/>
      <c r="D535" s="22"/>
      <c r="E535" s="22"/>
      <c r="F535" s="23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3"/>
      <c r="AF535" s="24"/>
      <c r="AG535" s="24"/>
      <c r="AH535" s="24"/>
      <c r="AI535" s="24"/>
      <c r="AJ535" s="22"/>
      <c r="AK535" s="22"/>
    </row>
    <row r="536">
      <c r="A536" s="22"/>
      <c r="B536" s="22"/>
      <c r="C536" s="22"/>
      <c r="D536" s="22"/>
      <c r="E536" s="22"/>
      <c r="F536" s="23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3"/>
      <c r="AF536" s="24"/>
      <c r="AG536" s="24"/>
      <c r="AH536" s="24"/>
      <c r="AI536" s="24"/>
      <c r="AJ536" s="22"/>
      <c r="AK536" s="22"/>
    </row>
    <row r="537">
      <c r="A537" s="22"/>
      <c r="B537" s="22"/>
      <c r="C537" s="22"/>
      <c r="D537" s="22"/>
      <c r="E537" s="22"/>
      <c r="F537" s="23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3"/>
      <c r="AF537" s="24"/>
      <c r="AG537" s="24"/>
      <c r="AH537" s="24"/>
      <c r="AI537" s="24"/>
      <c r="AJ537" s="22"/>
      <c r="AK537" s="22"/>
    </row>
    <row r="538">
      <c r="A538" s="22"/>
      <c r="B538" s="22"/>
      <c r="C538" s="22"/>
      <c r="D538" s="22"/>
      <c r="E538" s="22"/>
      <c r="F538" s="23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3"/>
      <c r="AF538" s="24"/>
      <c r="AG538" s="24"/>
      <c r="AH538" s="24"/>
      <c r="AI538" s="24"/>
      <c r="AJ538" s="22"/>
      <c r="AK538" s="22"/>
    </row>
    <row r="539">
      <c r="A539" s="22"/>
      <c r="B539" s="22"/>
      <c r="C539" s="22"/>
      <c r="D539" s="22"/>
      <c r="E539" s="22"/>
      <c r="F539" s="23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3"/>
      <c r="AF539" s="24"/>
      <c r="AG539" s="24"/>
      <c r="AH539" s="24"/>
      <c r="AI539" s="24"/>
      <c r="AJ539" s="22"/>
      <c r="AK539" s="22"/>
    </row>
    <row r="540">
      <c r="A540" s="22"/>
      <c r="B540" s="22"/>
      <c r="C540" s="22"/>
      <c r="D540" s="22"/>
      <c r="E540" s="22"/>
      <c r="F540" s="23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3"/>
      <c r="AF540" s="24"/>
      <c r="AG540" s="24"/>
      <c r="AH540" s="24"/>
      <c r="AI540" s="24"/>
      <c r="AJ540" s="22"/>
      <c r="AK540" s="22"/>
    </row>
    <row r="541">
      <c r="A541" s="22"/>
      <c r="B541" s="22"/>
      <c r="C541" s="22"/>
      <c r="D541" s="22"/>
      <c r="E541" s="22"/>
      <c r="F541" s="23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3"/>
      <c r="AF541" s="24"/>
      <c r="AG541" s="24"/>
      <c r="AH541" s="24"/>
      <c r="AI541" s="24"/>
      <c r="AJ541" s="22"/>
      <c r="AK541" s="22"/>
    </row>
    <row r="542">
      <c r="A542" s="22"/>
      <c r="B542" s="22"/>
      <c r="C542" s="22"/>
      <c r="D542" s="22"/>
      <c r="E542" s="22"/>
      <c r="F542" s="23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3"/>
      <c r="AF542" s="24"/>
      <c r="AG542" s="24"/>
      <c r="AH542" s="24"/>
      <c r="AI542" s="24"/>
      <c r="AJ542" s="22"/>
      <c r="AK542" s="22"/>
    </row>
    <row r="543">
      <c r="A543" s="22"/>
      <c r="B543" s="22"/>
      <c r="C543" s="22"/>
      <c r="D543" s="22"/>
      <c r="E543" s="22"/>
      <c r="F543" s="23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3"/>
      <c r="AF543" s="24"/>
      <c r="AG543" s="24"/>
      <c r="AH543" s="24"/>
      <c r="AI543" s="24"/>
      <c r="AJ543" s="22"/>
      <c r="AK543" s="22"/>
    </row>
    <row r="544">
      <c r="A544" s="22"/>
      <c r="B544" s="22"/>
      <c r="C544" s="22"/>
      <c r="D544" s="22"/>
      <c r="E544" s="22"/>
      <c r="F544" s="23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3"/>
      <c r="AF544" s="24"/>
      <c r="AG544" s="24"/>
      <c r="AH544" s="24"/>
      <c r="AI544" s="24"/>
      <c r="AJ544" s="22"/>
      <c r="AK544" s="22"/>
    </row>
    <row r="545">
      <c r="A545" s="22"/>
      <c r="B545" s="22"/>
      <c r="C545" s="22"/>
      <c r="D545" s="22"/>
      <c r="E545" s="22"/>
      <c r="F545" s="23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3"/>
      <c r="AF545" s="24"/>
      <c r="AG545" s="24"/>
      <c r="AH545" s="24"/>
      <c r="AI545" s="24"/>
      <c r="AJ545" s="22"/>
      <c r="AK545" s="22"/>
    </row>
    <row r="546">
      <c r="A546" s="22"/>
      <c r="B546" s="22"/>
      <c r="C546" s="22"/>
      <c r="D546" s="22"/>
      <c r="E546" s="22"/>
      <c r="F546" s="23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3"/>
      <c r="AF546" s="24"/>
      <c r="AG546" s="24"/>
      <c r="AH546" s="24"/>
      <c r="AI546" s="24"/>
      <c r="AJ546" s="22"/>
      <c r="AK546" s="22"/>
    </row>
    <row r="547">
      <c r="A547" s="22"/>
      <c r="B547" s="22"/>
      <c r="C547" s="22"/>
      <c r="D547" s="22"/>
      <c r="E547" s="22"/>
      <c r="F547" s="23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3"/>
      <c r="AF547" s="24"/>
      <c r="AG547" s="24"/>
      <c r="AH547" s="24"/>
      <c r="AI547" s="24"/>
      <c r="AJ547" s="22"/>
      <c r="AK547" s="22"/>
    </row>
    <row r="548">
      <c r="A548" s="22"/>
      <c r="B548" s="22"/>
      <c r="C548" s="22"/>
      <c r="D548" s="22"/>
      <c r="E548" s="22"/>
      <c r="F548" s="23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3"/>
      <c r="AF548" s="24"/>
      <c r="AG548" s="24"/>
      <c r="AH548" s="24"/>
      <c r="AI548" s="24"/>
      <c r="AJ548" s="22"/>
      <c r="AK548" s="22"/>
    </row>
    <row r="549">
      <c r="A549" s="22"/>
      <c r="B549" s="22"/>
      <c r="C549" s="22"/>
      <c r="D549" s="22"/>
      <c r="E549" s="22"/>
      <c r="F549" s="23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3"/>
      <c r="AF549" s="24"/>
      <c r="AG549" s="24"/>
      <c r="AH549" s="24"/>
      <c r="AI549" s="24"/>
      <c r="AJ549" s="22"/>
      <c r="AK549" s="22"/>
    </row>
    <row r="550">
      <c r="A550" s="22"/>
      <c r="B550" s="22"/>
      <c r="C550" s="22"/>
      <c r="D550" s="22"/>
      <c r="E550" s="22"/>
      <c r="F550" s="23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3"/>
      <c r="AF550" s="24"/>
      <c r="AG550" s="24"/>
      <c r="AH550" s="24"/>
      <c r="AI550" s="24"/>
      <c r="AJ550" s="22"/>
      <c r="AK550" s="22"/>
    </row>
    <row r="551">
      <c r="A551" s="22"/>
      <c r="B551" s="22"/>
      <c r="C551" s="22"/>
      <c r="D551" s="22"/>
      <c r="E551" s="22"/>
      <c r="F551" s="23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3"/>
      <c r="AF551" s="24"/>
      <c r="AG551" s="24"/>
      <c r="AH551" s="24"/>
      <c r="AI551" s="24"/>
      <c r="AJ551" s="22"/>
      <c r="AK551" s="22"/>
    </row>
    <row r="552">
      <c r="A552" s="22"/>
      <c r="B552" s="22"/>
      <c r="C552" s="22"/>
      <c r="D552" s="22"/>
      <c r="E552" s="22"/>
      <c r="F552" s="23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3"/>
      <c r="AF552" s="24"/>
      <c r="AG552" s="24"/>
      <c r="AH552" s="24"/>
      <c r="AI552" s="24"/>
      <c r="AJ552" s="22"/>
      <c r="AK552" s="22"/>
    </row>
    <row r="553">
      <c r="A553" s="22"/>
      <c r="B553" s="22"/>
      <c r="C553" s="22"/>
      <c r="D553" s="22"/>
      <c r="E553" s="22"/>
      <c r="F553" s="23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3"/>
      <c r="AF553" s="24"/>
      <c r="AG553" s="24"/>
      <c r="AH553" s="24"/>
      <c r="AI553" s="24"/>
      <c r="AJ553" s="22"/>
      <c r="AK553" s="22"/>
    </row>
    <row r="554">
      <c r="A554" s="22"/>
      <c r="B554" s="22"/>
      <c r="C554" s="22"/>
      <c r="D554" s="22"/>
      <c r="E554" s="22"/>
      <c r="F554" s="23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3"/>
      <c r="AF554" s="24"/>
      <c r="AG554" s="24"/>
      <c r="AH554" s="24"/>
      <c r="AI554" s="24"/>
      <c r="AJ554" s="22"/>
      <c r="AK554" s="22"/>
    </row>
    <row r="555">
      <c r="A555" s="22"/>
      <c r="B555" s="22"/>
      <c r="C555" s="22"/>
      <c r="D555" s="22"/>
      <c r="E555" s="22"/>
      <c r="F555" s="23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3"/>
      <c r="AF555" s="24"/>
      <c r="AG555" s="24"/>
      <c r="AH555" s="24"/>
      <c r="AI555" s="24"/>
      <c r="AJ555" s="22"/>
      <c r="AK555" s="22"/>
    </row>
    <row r="556">
      <c r="A556" s="22"/>
      <c r="B556" s="22"/>
      <c r="C556" s="22"/>
      <c r="D556" s="22"/>
      <c r="E556" s="22"/>
      <c r="F556" s="23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3"/>
      <c r="AF556" s="24"/>
      <c r="AG556" s="24"/>
      <c r="AH556" s="24"/>
      <c r="AI556" s="24"/>
      <c r="AJ556" s="22"/>
      <c r="AK556" s="22"/>
    </row>
    <row r="557">
      <c r="A557" s="22"/>
      <c r="B557" s="22"/>
      <c r="C557" s="22"/>
      <c r="D557" s="22"/>
      <c r="E557" s="22"/>
      <c r="F557" s="23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3"/>
      <c r="AF557" s="24"/>
      <c r="AG557" s="24"/>
      <c r="AH557" s="24"/>
      <c r="AI557" s="24"/>
      <c r="AJ557" s="22"/>
      <c r="AK557" s="22"/>
    </row>
    <row r="558">
      <c r="A558" s="22"/>
      <c r="B558" s="22"/>
      <c r="C558" s="22"/>
      <c r="D558" s="22"/>
      <c r="E558" s="22"/>
      <c r="F558" s="23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3"/>
      <c r="AF558" s="24"/>
      <c r="AG558" s="24"/>
      <c r="AH558" s="24"/>
      <c r="AI558" s="24"/>
      <c r="AJ558" s="22"/>
      <c r="AK558" s="22"/>
    </row>
    <row r="559">
      <c r="A559" s="22"/>
      <c r="B559" s="22"/>
      <c r="C559" s="22"/>
      <c r="D559" s="22"/>
      <c r="E559" s="22"/>
      <c r="F559" s="23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3"/>
      <c r="AF559" s="24"/>
      <c r="AG559" s="24"/>
      <c r="AH559" s="24"/>
      <c r="AI559" s="24"/>
      <c r="AJ559" s="22"/>
      <c r="AK559" s="22"/>
    </row>
    <row r="560">
      <c r="A560" s="22"/>
      <c r="B560" s="22"/>
      <c r="C560" s="22"/>
      <c r="D560" s="22"/>
      <c r="E560" s="22"/>
      <c r="F560" s="23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3"/>
      <c r="AF560" s="24"/>
      <c r="AG560" s="24"/>
      <c r="AH560" s="24"/>
      <c r="AI560" s="24"/>
      <c r="AJ560" s="22"/>
      <c r="AK560" s="22"/>
    </row>
    <row r="561">
      <c r="A561" s="22"/>
      <c r="B561" s="22"/>
      <c r="C561" s="22"/>
      <c r="D561" s="22"/>
      <c r="E561" s="22"/>
      <c r="F561" s="23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3"/>
      <c r="AF561" s="24"/>
      <c r="AG561" s="24"/>
      <c r="AH561" s="24"/>
      <c r="AI561" s="24"/>
      <c r="AJ561" s="22"/>
      <c r="AK561" s="22"/>
    </row>
    <row r="562">
      <c r="A562" s="22"/>
      <c r="B562" s="22"/>
      <c r="C562" s="22"/>
      <c r="D562" s="22"/>
      <c r="E562" s="22"/>
      <c r="F562" s="23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3"/>
      <c r="AF562" s="24"/>
      <c r="AG562" s="24"/>
      <c r="AH562" s="24"/>
      <c r="AI562" s="24"/>
      <c r="AJ562" s="22"/>
      <c r="AK562" s="22"/>
    </row>
    <row r="563">
      <c r="A563" s="22"/>
      <c r="B563" s="22"/>
      <c r="C563" s="22"/>
      <c r="D563" s="22"/>
      <c r="E563" s="22"/>
      <c r="F563" s="23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3"/>
      <c r="AF563" s="24"/>
      <c r="AG563" s="24"/>
      <c r="AH563" s="24"/>
      <c r="AI563" s="24"/>
      <c r="AJ563" s="22"/>
      <c r="AK563" s="22"/>
    </row>
    <row r="564">
      <c r="A564" s="22"/>
      <c r="B564" s="22"/>
      <c r="C564" s="22"/>
      <c r="D564" s="22"/>
      <c r="E564" s="22"/>
      <c r="F564" s="23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3"/>
      <c r="AF564" s="24"/>
      <c r="AG564" s="24"/>
      <c r="AH564" s="24"/>
      <c r="AI564" s="24"/>
      <c r="AJ564" s="22"/>
      <c r="AK564" s="22"/>
    </row>
    <row r="565">
      <c r="A565" s="22"/>
      <c r="B565" s="22"/>
      <c r="C565" s="22"/>
      <c r="D565" s="22"/>
      <c r="E565" s="22"/>
      <c r="F565" s="23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3"/>
      <c r="AF565" s="24"/>
      <c r="AG565" s="24"/>
      <c r="AH565" s="24"/>
      <c r="AI565" s="24"/>
      <c r="AJ565" s="22"/>
      <c r="AK565" s="22"/>
    </row>
    <row r="566">
      <c r="A566" s="22"/>
      <c r="B566" s="22"/>
      <c r="C566" s="22"/>
      <c r="D566" s="22"/>
      <c r="E566" s="22"/>
      <c r="F566" s="23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3"/>
      <c r="AF566" s="24"/>
      <c r="AG566" s="24"/>
      <c r="AH566" s="24"/>
      <c r="AI566" s="24"/>
      <c r="AJ566" s="22"/>
      <c r="AK566" s="22"/>
    </row>
    <row r="567">
      <c r="A567" s="22"/>
      <c r="B567" s="22"/>
      <c r="C567" s="22"/>
      <c r="D567" s="22"/>
      <c r="E567" s="22"/>
      <c r="F567" s="23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3"/>
      <c r="AF567" s="24"/>
      <c r="AG567" s="24"/>
      <c r="AH567" s="24"/>
      <c r="AI567" s="24"/>
      <c r="AJ567" s="22"/>
      <c r="AK567" s="22"/>
    </row>
    <row r="568">
      <c r="A568" s="22"/>
      <c r="B568" s="22"/>
      <c r="C568" s="22"/>
      <c r="D568" s="22"/>
      <c r="E568" s="22"/>
      <c r="F568" s="23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3"/>
      <c r="AF568" s="24"/>
      <c r="AG568" s="24"/>
      <c r="AH568" s="24"/>
      <c r="AI568" s="24"/>
      <c r="AJ568" s="22"/>
      <c r="AK568" s="22"/>
    </row>
    <row r="569">
      <c r="A569" s="22"/>
      <c r="B569" s="22"/>
      <c r="C569" s="22"/>
      <c r="D569" s="22"/>
      <c r="E569" s="22"/>
      <c r="F569" s="23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3"/>
      <c r="AF569" s="24"/>
      <c r="AG569" s="24"/>
      <c r="AH569" s="24"/>
      <c r="AI569" s="24"/>
      <c r="AJ569" s="22"/>
      <c r="AK569" s="22"/>
    </row>
    <row r="570">
      <c r="A570" s="22"/>
      <c r="B570" s="22"/>
      <c r="C570" s="22"/>
      <c r="D570" s="22"/>
      <c r="E570" s="22"/>
      <c r="F570" s="23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3"/>
      <c r="AF570" s="24"/>
      <c r="AG570" s="24"/>
      <c r="AH570" s="24"/>
      <c r="AI570" s="24"/>
      <c r="AJ570" s="22"/>
      <c r="AK570" s="22"/>
    </row>
    <row r="571">
      <c r="A571" s="22"/>
      <c r="B571" s="22"/>
      <c r="C571" s="22"/>
      <c r="D571" s="22"/>
      <c r="E571" s="22"/>
      <c r="F571" s="23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3"/>
      <c r="AF571" s="24"/>
      <c r="AG571" s="24"/>
      <c r="AH571" s="24"/>
      <c r="AI571" s="24"/>
      <c r="AJ571" s="22"/>
      <c r="AK571" s="22"/>
    </row>
    <row r="572">
      <c r="A572" s="22"/>
      <c r="B572" s="22"/>
      <c r="C572" s="22"/>
      <c r="D572" s="22"/>
      <c r="E572" s="22"/>
      <c r="F572" s="23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3"/>
      <c r="AF572" s="24"/>
      <c r="AG572" s="24"/>
      <c r="AH572" s="24"/>
      <c r="AI572" s="24"/>
      <c r="AJ572" s="22"/>
      <c r="AK572" s="22"/>
    </row>
    <row r="573">
      <c r="A573" s="22"/>
      <c r="B573" s="22"/>
      <c r="C573" s="22"/>
      <c r="D573" s="22"/>
      <c r="E573" s="22"/>
      <c r="F573" s="23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3"/>
      <c r="AF573" s="24"/>
      <c r="AG573" s="24"/>
      <c r="AH573" s="24"/>
      <c r="AI573" s="24"/>
      <c r="AJ573" s="22"/>
      <c r="AK573" s="22"/>
    </row>
    <row r="574">
      <c r="A574" s="22"/>
      <c r="B574" s="22"/>
      <c r="C574" s="22"/>
      <c r="D574" s="22"/>
      <c r="E574" s="22"/>
      <c r="F574" s="23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3"/>
      <c r="AF574" s="24"/>
      <c r="AG574" s="24"/>
      <c r="AH574" s="24"/>
      <c r="AI574" s="24"/>
      <c r="AJ574" s="22"/>
      <c r="AK574" s="22"/>
    </row>
    <row r="575">
      <c r="A575" s="22"/>
      <c r="B575" s="22"/>
      <c r="C575" s="22"/>
      <c r="D575" s="22"/>
      <c r="E575" s="22"/>
      <c r="F575" s="23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3"/>
      <c r="AF575" s="24"/>
      <c r="AG575" s="24"/>
      <c r="AH575" s="24"/>
      <c r="AI575" s="24"/>
      <c r="AJ575" s="22"/>
      <c r="AK575" s="22"/>
    </row>
    <row r="576">
      <c r="A576" s="22"/>
      <c r="B576" s="22"/>
      <c r="C576" s="22"/>
      <c r="D576" s="22"/>
      <c r="E576" s="22"/>
      <c r="F576" s="23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3"/>
      <c r="AF576" s="24"/>
      <c r="AG576" s="24"/>
      <c r="AH576" s="24"/>
      <c r="AI576" s="24"/>
      <c r="AJ576" s="22"/>
      <c r="AK576" s="22"/>
    </row>
    <row r="577">
      <c r="A577" s="22"/>
      <c r="B577" s="22"/>
      <c r="C577" s="22"/>
      <c r="D577" s="22"/>
      <c r="E577" s="22"/>
      <c r="F577" s="23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3"/>
      <c r="AF577" s="24"/>
      <c r="AG577" s="24"/>
      <c r="AH577" s="24"/>
      <c r="AI577" s="24"/>
      <c r="AJ577" s="22"/>
      <c r="AK577" s="22"/>
    </row>
    <row r="578">
      <c r="A578" s="22"/>
      <c r="B578" s="22"/>
      <c r="C578" s="22"/>
      <c r="D578" s="22"/>
      <c r="E578" s="22"/>
      <c r="F578" s="23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3"/>
      <c r="AF578" s="24"/>
      <c r="AG578" s="24"/>
      <c r="AH578" s="24"/>
      <c r="AI578" s="24"/>
      <c r="AJ578" s="22"/>
      <c r="AK578" s="22"/>
    </row>
    <row r="579">
      <c r="A579" s="22"/>
      <c r="B579" s="22"/>
      <c r="C579" s="22"/>
      <c r="D579" s="22"/>
      <c r="E579" s="22"/>
      <c r="F579" s="23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3"/>
      <c r="AF579" s="24"/>
      <c r="AG579" s="24"/>
      <c r="AH579" s="24"/>
      <c r="AI579" s="24"/>
      <c r="AJ579" s="22"/>
      <c r="AK579" s="22"/>
    </row>
    <row r="580">
      <c r="A580" s="22"/>
      <c r="B580" s="22"/>
      <c r="C580" s="22"/>
      <c r="D580" s="22"/>
      <c r="E580" s="22"/>
      <c r="F580" s="23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3"/>
      <c r="AF580" s="24"/>
      <c r="AG580" s="24"/>
      <c r="AH580" s="24"/>
      <c r="AI580" s="24"/>
      <c r="AJ580" s="22"/>
      <c r="AK580" s="22"/>
    </row>
    <row r="581">
      <c r="A581" s="22"/>
      <c r="B581" s="22"/>
      <c r="C581" s="22"/>
      <c r="D581" s="22"/>
      <c r="E581" s="22"/>
      <c r="F581" s="23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3"/>
      <c r="AF581" s="24"/>
      <c r="AG581" s="24"/>
      <c r="AH581" s="24"/>
      <c r="AI581" s="24"/>
      <c r="AJ581" s="22"/>
      <c r="AK581" s="22"/>
    </row>
    <row r="582">
      <c r="A582" s="22"/>
      <c r="B582" s="22"/>
      <c r="C582" s="22"/>
      <c r="D582" s="22"/>
      <c r="E582" s="22"/>
      <c r="F582" s="23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3"/>
      <c r="AF582" s="24"/>
      <c r="AG582" s="24"/>
      <c r="AH582" s="24"/>
      <c r="AI582" s="24"/>
      <c r="AJ582" s="22"/>
      <c r="AK582" s="22"/>
    </row>
    <row r="583">
      <c r="A583" s="22"/>
      <c r="B583" s="22"/>
      <c r="C583" s="22"/>
      <c r="D583" s="22"/>
      <c r="E583" s="22"/>
      <c r="F583" s="23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3"/>
      <c r="AF583" s="24"/>
      <c r="AG583" s="24"/>
      <c r="AH583" s="24"/>
      <c r="AI583" s="24"/>
      <c r="AJ583" s="22"/>
      <c r="AK583" s="22"/>
    </row>
    <row r="584">
      <c r="A584" s="22"/>
      <c r="B584" s="22"/>
      <c r="C584" s="22"/>
      <c r="D584" s="22"/>
      <c r="E584" s="22"/>
      <c r="F584" s="23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3"/>
      <c r="AF584" s="24"/>
      <c r="AG584" s="24"/>
      <c r="AH584" s="24"/>
      <c r="AI584" s="24"/>
      <c r="AJ584" s="22"/>
      <c r="AK584" s="22"/>
    </row>
    <row r="585">
      <c r="A585" s="22"/>
      <c r="B585" s="22"/>
      <c r="C585" s="22"/>
      <c r="D585" s="22"/>
      <c r="E585" s="22"/>
      <c r="F585" s="23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3"/>
      <c r="AF585" s="24"/>
      <c r="AG585" s="24"/>
      <c r="AH585" s="24"/>
      <c r="AI585" s="24"/>
      <c r="AJ585" s="22"/>
      <c r="AK585" s="22"/>
    </row>
    <row r="586">
      <c r="A586" s="22"/>
      <c r="B586" s="22"/>
      <c r="C586" s="22"/>
      <c r="D586" s="22"/>
      <c r="E586" s="22"/>
      <c r="F586" s="23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3"/>
      <c r="AF586" s="24"/>
      <c r="AG586" s="24"/>
      <c r="AH586" s="24"/>
      <c r="AI586" s="24"/>
      <c r="AJ586" s="22"/>
      <c r="AK586" s="22"/>
    </row>
    <row r="587">
      <c r="A587" s="22"/>
      <c r="B587" s="22"/>
      <c r="C587" s="22"/>
      <c r="D587" s="22"/>
      <c r="E587" s="22"/>
      <c r="F587" s="23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3"/>
      <c r="AF587" s="24"/>
      <c r="AG587" s="24"/>
      <c r="AH587" s="24"/>
      <c r="AI587" s="24"/>
      <c r="AJ587" s="22"/>
      <c r="AK587" s="22"/>
    </row>
    <row r="588">
      <c r="A588" s="22"/>
      <c r="B588" s="22"/>
      <c r="C588" s="22"/>
      <c r="D588" s="22"/>
      <c r="E588" s="22"/>
      <c r="F588" s="23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3"/>
      <c r="AF588" s="24"/>
      <c r="AG588" s="24"/>
      <c r="AH588" s="24"/>
      <c r="AI588" s="24"/>
      <c r="AJ588" s="22"/>
      <c r="AK588" s="22"/>
    </row>
    <row r="589">
      <c r="A589" s="22"/>
      <c r="B589" s="22"/>
      <c r="C589" s="22"/>
      <c r="D589" s="22"/>
      <c r="E589" s="22"/>
      <c r="F589" s="23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3"/>
      <c r="AF589" s="24"/>
      <c r="AG589" s="24"/>
      <c r="AH589" s="24"/>
      <c r="AI589" s="24"/>
      <c r="AJ589" s="22"/>
      <c r="AK589" s="22"/>
    </row>
    <row r="590">
      <c r="A590" s="22"/>
      <c r="B590" s="22"/>
      <c r="C590" s="22"/>
      <c r="D590" s="22"/>
      <c r="E590" s="22"/>
      <c r="F590" s="23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3"/>
      <c r="AF590" s="24"/>
      <c r="AG590" s="24"/>
      <c r="AH590" s="24"/>
      <c r="AI590" s="24"/>
      <c r="AJ590" s="22"/>
      <c r="AK590" s="22"/>
    </row>
    <row r="591">
      <c r="A591" s="22"/>
      <c r="B591" s="22"/>
      <c r="C591" s="22"/>
      <c r="D591" s="22"/>
      <c r="E591" s="22"/>
      <c r="F591" s="23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3"/>
      <c r="AF591" s="24"/>
      <c r="AG591" s="24"/>
      <c r="AH591" s="24"/>
      <c r="AI591" s="24"/>
      <c r="AJ591" s="22"/>
      <c r="AK591" s="22"/>
    </row>
    <row r="592">
      <c r="A592" s="22"/>
      <c r="B592" s="22"/>
      <c r="C592" s="22"/>
      <c r="D592" s="22"/>
      <c r="E592" s="22"/>
      <c r="F592" s="23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3"/>
      <c r="AF592" s="24"/>
      <c r="AG592" s="24"/>
      <c r="AH592" s="24"/>
      <c r="AI592" s="24"/>
      <c r="AJ592" s="22"/>
      <c r="AK592" s="22"/>
    </row>
    <row r="593">
      <c r="A593" s="22"/>
      <c r="B593" s="22"/>
      <c r="C593" s="22"/>
      <c r="D593" s="22"/>
      <c r="E593" s="22"/>
      <c r="F593" s="23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3"/>
      <c r="AF593" s="24"/>
      <c r="AG593" s="24"/>
      <c r="AH593" s="24"/>
      <c r="AI593" s="24"/>
      <c r="AJ593" s="22"/>
      <c r="AK593" s="22"/>
    </row>
    <row r="594">
      <c r="A594" s="22"/>
      <c r="B594" s="22"/>
      <c r="C594" s="22"/>
      <c r="D594" s="22"/>
      <c r="E594" s="22"/>
      <c r="F594" s="23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3"/>
      <c r="AF594" s="24"/>
      <c r="AG594" s="24"/>
      <c r="AH594" s="24"/>
      <c r="AI594" s="24"/>
      <c r="AJ594" s="22"/>
      <c r="AK594" s="22"/>
    </row>
    <row r="595">
      <c r="A595" s="22"/>
      <c r="B595" s="22"/>
      <c r="C595" s="22"/>
      <c r="D595" s="22"/>
      <c r="E595" s="22"/>
      <c r="F595" s="23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3"/>
      <c r="AF595" s="24"/>
      <c r="AG595" s="24"/>
      <c r="AH595" s="24"/>
      <c r="AI595" s="24"/>
      <c r="AJ595" s="22"/>
      <c r="AK595" s="22"/>
    </row>
    <row r="596">
      <c r="A596" s="22"/>
      <c r="B596" s="22"/>
      <c r="C596" s="22"/>
      <c r="D596" s="22"/>
      <c r="E596" s="22"/>
      <c r="F596" s="23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3"/>
      <c r="AF596" s="24"/>
      <c r="AG596" s="24"/>
      <c r="AH596" s="24"/>
      <c r="AI596" s="24"/>
      <c r="AJ596" s="22"/>
      <c r="AK596" s="22"/>
    </row>
    <row r="597">
      <c r="A597" s="22"/>
      <c r="B597" s="22"/>
      <c r="C597" s="22"/>
      <c r="D597" s="22"/>
      <c r="E597" s="22"/>
      <c r="F597" s="23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3"/>
      <c r="AF597" s="24"/>
      <c r="AG597" s="24"/>
      <c r="AH597" s="24"/>
      <c r="AI597" s="24"/>
      <c r="AJ597" s="22"/>
      <c r="AK597" s="22"/>
    </row>
    <row r="598">
      <c r="A598" s="22"/>
      <c r="B598" s="22"/>
      <c r="C598" s="22"/>
      <c r="D598" s="22"/>
      <c r="E598" s="22"/>
      <c r="F598" s="23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3"/>
      <c r="AF598" s="24"/>
      <c r="AG598" s="24"/>
      <c r="AH598" s="24"/>
      <c r="AI598" s="24"/>
      <c r="AJ598" s="22"/>
      <c r="AK598" s="22"/>
    </row>
    <row r="599">
      <c r="A599" s="22"/>
      <c r="B599" s="22"/>
      <c r="C599" s="22"/>
      <c r="D599" s="22"/>
      <c r="E599" s="22"/>
      <c r="F599" s="23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3"/>
      <c r="AF599" s="24"/>
      <c r="AG599" s="24"/>
      <c r="AH599" s="24"/>
      <c r="AI599" s="24"/>
      <c r="AJ599" s="22"/>
      <c r="AK599" s="22"/>
    </row>
    <row r="600">
      <c r="A600" s="22"/>
      <c r="B600" s="22"/>
      <c r="C600" s="22"/>
      <c r="D600" s="22"/>
      <c r="E600" s="22"/>
      <c r="F600" s="23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3"/>
      <c r="AF600" s="24"/>
      <c r="AG600" s="24"/>
      <c r="AH600" s="24"/>
      <c r="AI600" s="24"/>
      <c r="AJ600" s="22"/>
      <c r="AK600" s="22"/>
    </row>
    <row r="601">
      <c r="A601" s="22"/>
      <c r="B601" s="22"/>
      <c r="C601" s="22"/>
      <c r="D601" s="22"/>
      <c r="E601" s="22"/>
      <c r="F601" s="23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3"/>
      <c r="AF601" s="24"/>
      <c r="AG601" s="24"/>
      <c r="AH601" s="24"/>
      <c r="AI601" s="24"/>
      <c r="AJ601" s="22"/>
      <c r="AK601" s="22"/>
    </row>
    <row r="602">
      <c r="A602" s="22"/>
      <c r="B602" s="22"/>
      <c r="C602" s="22"/>
      <c r="D602" s="22"/>
      <c r="E602" s="22"/>
      <c r="F602" s="23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3"/>
      <c r="AF602" s="24"/>
      <c r="AG602" s="24"/>
      <c r="AH602" s="24"/>
      <c r="AI602" s="24"/>
      <c r="AJ602" s="22"/>
      <c r="AK602" s="22"/>
    </row>
    <row r="603">
      <c r="A603" s="22"/>
      <c r="B603" s="22"/>
      <c r="C603" s="22"/>
      <c r="D603" s="22"/>
      <c r="E603" s="22"/>
      <c r="F603" s="23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3"/>
      <c r="AF603" s="24"/>
      <c r="AG603" s="24"/>
      <c r="AH603" s="24"/>
      <c r="AI603" s="24"/>
      <c r="AJ603" s="22"/>
      <c r="AK603" s="22"/>
    </row>
    <row r="604">
      <c r="A604" s="22"/>
      <c r="B604" s="22"/>
      <c r="C604" s="22"/>
      <c r="D604" s="22"/>
      <c r="E604" s="22"/>
      <c r="F604" s="23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3"/>
      <c r="AF604" s="24"/>
      <c r="AG604" s="24"/>
      <c r="AH604" s="24"/>
      <c r="AI604" s="24"/>
      <c r="AJ604" s="22"/>
      <c r="AK604" s="22"/>
    </row>
    <row r="605">
      <c r="A605" s="22"/>
      <c r="B605" s="22"/>
      <c r="C605" s="22"/>
      <c r="D605" s="22"/>
      <c r="E605" s="22"/>
      <c r="F605" s="23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3"/>
      <c r="AF605" s="24"/>
      <c r="AG605" s="24"/>
      <c r="AH605" s="24"/>
      <c r="AI605" s="24"/>
      <c r="AJ605" s="22"/>
      <c r="AK605" s="22"/>
    </row>
    <row r="606">
      <c r="A606" s="22"/>
      <c r="B606" s="22"/>
      <c r="C606" s="22"/>
      <c r="D606" s="22"/>
      <c r="E606" s="22"/>
      <c r="F606" s="23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3"/>
      <c r="AF606" s="24"/>
      <c r="AG606" s="24"/>
      <c r="AH606" s="24"/>
      <c r="AI606" s="24"/>
      <c r="AJ606" s="22"/>
      <c r="AK606" s="22"/>
    </row>
    <row r="607">
      <c r="A607" s="22"/>
      <c r="B607" s="22"/>
      <c r="C607" s="22"/>
      <c r="D607" s="22"/>
      <c r="E607" s="22"/>
      <c r="F607" s="23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3"/>
      <c r="AF607" s="24"/>
      <c r="AG607" s="24"/>
      <c r="AH607" s="24"/>
      <c r="AI607" s="24"/>
      <c r="AJ607" s="22"/>
      <c r="AK607" s="22"/>
    </row>
    <row r="608">
      <c r="A608" s="22"/>
      <c r="B608" s="22"/>
      <c r="C608" s="22"/>
      <c r="D608" s="22"/>
      <c r="E608" s="22"/>
      <c r="F608" s="23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3"/>
      <c r="AF608" s="24"/>
      <c r="AG608" s="24"/>
      <c r="AH608" s="24"/>
      <c r="AI608" s="24"/>
      <c r="AJ608" s="22"/>
      <c r="AK608" s="22"/>
    </row>
    <row r="609">
      <c r="A609" s="22"/>
      <c r="B609" s="22"/>
      <c r="C609" s="22"/>
      <c r="D609" s="22"/>
      <c r="E609" s="22"/>
      <c r="F609" s="23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3"/>
      <c r="AF609" s="24"/>
      <c r="AG609" s="24"/>
      <c r="AH609" s="24"/>
      <c r="AI609" s="24"/>
      <c r="AJ609" s="22"/>
      <c r="AK609" s="22"/>
    </row>
    <row r="610">
      <c r="A610" s="22"/>
      <c r="B610" s="22"/>
      <c r="C610" s="22"/>
      <c r="D610" s="22"/>
      <c r="E610" s="22"/>
      <c r="F610" s="23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3"/>
      <c r="AF610" s="24"/>
      <c r="AG610" s="24"/>
      <c r="AH610" s="24"/>
      <c r="AI610" s="24"/>
      <c r="AJ610" s="22"/>
      <c r="AK610" s="22"/>
    </row>
    <row r="611">
      <c r="A611" s="22"/>
      <c r="B611" s="22"/>
      <c r="C611" s="22"/>
      <c r="D611" s="22"/>
      <c r="E611" s="22"/>
      <c r="F611" s="23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3"/>
      <c r="AF611" s="24"/>
      <c r="AG611" s="24"/>
      <c r="AH611" s="24"/>
      <c r="AI611" s="24"/>
      <c r="AJ611" s="22"/>
      <c r="AK611" s="22"/>
    </row>
    <row r="612">
      <c r="A612" s="22"/>
      <c r="B612" s="22"/>
      <c r="C612" s="22"/>
      <c r="D612" s="22"/>
      <c r="E612" s="22"/>
      <c r="F612" s="23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3"/>
      <c r="AF612" s="24"/>
      <c r="AG612" s="24"/>
      <c r="AH612" s="24"/>
      <c r="AI612" s="24"/>
      <c r="AJ612" s="22"/>
      <c r="AK612" s="22"/>
    </row>
    <row r="613">
      <c r="A613" s="22"/>
      <c r="B613" s="22"/>
      <c r="C613" s="22"/>
      <c r="D613" s="22"/>
      <c r="E613" s="22"/>
      <c r="F613" s="23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3"/>
      <c r="AF613" s="24"/>
      <c r="AG613" s="24"/>
      <c r="AH613" s="24"/>
      <c r="AI613" s="24"/>
      <c r="AJ613" s="22"/>
      <c r="AK613" s="22"/>
    </row>
    <row r="614">
      <c r="A614" s="22"/>
      <c r="B614" s="22"/>
      <c r="C614" s="22"/>
      <c r="D614" s="22"/>
      <c r="E614" s="22"/>
      <c r="F614" s="23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3"/>
      <c r="AF614" s="24"/>
      <c r="AG614" s="24"/>
      <c r="AH614" s="24"/>
      <c r="AI614" s="24"/>
      <c r="AJ614" s="22"/>
      <c r="AK614" s="22"/>
    </row>
    <row r="615">
      <c r="A615" s="22"/>
      <c r="B615" s="22"/>
      <c r="C615" s="22"/>
      <c r="D615" s="22"/>
      <c r="E615" s="22"/>
      <c r="F615" s="23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3"/>
      <c r="AF615" s="24"/>
      <c r="AG615" s="24"/>
      <c r="AH615" s="24"/>
      <c r="AI615" s="24"/>
      <c r="AJ615" s="22"/>
      <c r="AK615" s="22"/>
    </row>
    <row r="616">
      <c r="A616" s="22"/>
      <c r="B616" s="22"/>
      <c r="C616" s="22"/>
      <c r="D616" s="22"/>
      <c r="E616" s="22"/>
      <c r="F616" s="23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3"/>
      <c r="AF616" s="24"/>
      <c r="AG616" s="24"/>
      <c r="AH616" s="24"/>
      <c r="AI616" s="24"/>
      <c r="AJ616" s="22"/>
      <c r="AK616" s="22"/>
    </row>
    <row r="617">
      <c r="A617" s="22"/>
      <c r="B617" s="22"/>
      <c r="C617" s="22"/>
      <c r="D617" s="22"/>
      <c r="E617" s="22"/>
      <c r="F617" s="23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3"/>
      <c r="AF617" s="24"/>
      <c r="AG617" s="24"/>
      <c r="AH617" s="24"/>
      <c r="AI617" s="24"/>
      <c r="AJ617" s="22"/>
      <c r="AK617" s="22"/>
    </row>
    <row r="618">
      <c r="A618" s="22"/>
      <c r="B618" s="22"/>
      <c r="C618" s="22"/>
      <c r="D618" s="22"/>
      <c r="E618" s="22"/>
      <c r="F618" s="23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3"/>
      <c r="AF618" s="24"/>
      <c r="AG618" s="24"/>
      <c r="AH618" s="24"/>
      <c r="AI618" s="24"/>
      <c r="AJ618" s="22"/>
      <c r="AK618" s="22"/>
    </row>
    <row r="619">
      <c r="A619" s="22"/>
      <c r="B619" s="22"/>
      <c r="C619" s="22"/>
      <c r="D619" s="22"/>
      <c r="E619" s="22"/>
      <c r="F619" s="23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3"/>
      <c r="AF619" s="24"/>
      <c r="AG619" s="24"/>
      <c r="AH619" s="24"/>
      <c r="AI619" s="24"/>
      <c r="AJ619" s="22"/>
      <c r="AK619" s="22"/>
    </row>
    <row r="620">
      <c r="A620" s="22"/>
      <c r="B620" s="22"/>
      <c r="C620" s="22"/>
      <c r="D620" s="22"/>
      <c r="E620" s="22"/>
      <c r="F620" s="23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3"/>
      <c r="AF620" s="24"/>
      <c r="AG620" s="24"/>
      <c r="AH620" s="24"/>
      <c r="AI620" s="24"/>
      <c r="AJ620" s="22"/>
      <c r="AK620" s="22"/>
    </row>
    <row r="621">
      <c r="A621" s="22"/>
      <c r="B621" s="22"/>
      <c r="C621" s="22"/>
      <c r="D621" s="22"/>
      <c r="E621" s="22"/>
      <c r="F621" s="23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3"/>
      <c r="AF621" s="24"/>
      <c r="AG621" s="24"/>
      <c r="AH621" s="24"/>
      <c r="AI621" s="24"/>
      <c r="AJ621" s="22"/>
      <c r="AK621" s="22"/>
    </row>
    <row r="622">
      <c r="A622" s="22"/>
      <c r="B622" s="22"/>
      <c r="C622" s="22"/>
      <c r="D622" s="22"/>
      <c r="E622" s="22"/>
      <c r="F622" s="23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3"/>
      <c r="AF622" s="24"/>
      <c r="AG622" s="24"/>
      <c r="AH622" s="24"/>
      <c r="AI622" s="24"/>
      <c r="AJ622" s="22"/>
      <c r="AK622" s="22"/>
    </row>
    <row r="623">
      <c r="A623" s="22"/>
      <c r="B623" s="22"/>
      <c r="C623" s="22"/>
      <c r="D623" s="22"/>
      <c r="E623" s="22"/>
      <c r="F623" s="23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3"/>
      <c r="AF623" s="24"/>
      <c r="AG623" s="24"/>
      <c r="AH623" s="24"/>
      <c r="AI623" s="24"/>
      <c r="AJ623" s="22"/>
      <c r="AK623" s="22"/>
    </row>
    <row r="624">
      <c r="A624" s="22"/>
      <c r="B624" s="22"/>
      <c r="C624" s="22"/>
      <c r="D624" s="22"/>
      <c r="E624" s="22"/>
      <c r="F624" s="23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3"/>
      <c r="AF624" s="24"/>
      <c r="AG624" s="24"/>
      <c r="AH624" s="24"/>
      <c r="AI624" s="24"/>
      <c r="AJ624" s="22"/>
      <c r="AK624" s="22"/>
    </row>
    <row r="625">
      <c r="A625" s="22"/>
      <c r="B625" s="22"/>
      <c r="C625" s="22"/>
      <c r="D625" s="22"/>
      <c r="E625" s="22"/>
      <c r="F625" s="23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3"/>
      <c r="AF625" s="24"/>
      <c r="AG625" s="24"/>
      <c r="AH625" s="24"/>
      <c r="AI625" s="24"/>
      <c r="AJ625" s="22"/>
      <c r="AK625" s="22"/>
    </row>
    <row r="626">
      <c r="A626" s="22"/>
      <c r="B626" s="22"/>
      <c r="C626" s="22"/>
      <c r="D626" s="22"/>
      <c r="E626" s="22"/>
      <c r="F626" s="23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3"/>
      <c r="AF626" s="24"/>
      <c r="AG626" s="24"/>
      <c r="AH626" s="24"/>
      <c r="AI626" s="24"/>
      <c r="AJ626" s="22"/>
      <c r="AK626" s="22"/>
    </row>
    <row r="627">
      <c r="A627" s="22"/>
      <c r="B627" s="22"/>
      <c r="C627" s="22"/>
      <c r="D627" s="22"/>
      <c r="E627" s="22"/>
      <c r="F627" s="23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3"/>
      <c r="AF627" s="24"/>
      <c r="AG627" s="24"/>
      <c r="AH627" s="24"/>
      <c r="AI627" s="24"/>
      <c r="AJ627" s="22"/>
      <c r="AK627" s="22"/>
    </row>
    <row r="628">
      <c r="A628" s="22"/>
      <c r="B628" s="22"/>
      <c r="C628" s="22"/>
      <c r="D628" s="22"/>
      <c r="E628" s="22"/>
      <c r="F628" s="23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3"/>
      <c r="AF628" s="24"/>
      <c r="AG628" s="24"/>
      <c r="AH628" s="24"/>
      <c r="AI628" s="24"/>
      <c r="AJ628" s="22"/>
      <c r="AK628" s="22"/>
    </row>
    <row r="629">
      <c r="A629" s="22"/>
      <c r="B629" s="22"/>
      <c r="C629" s="22"/>
      <c r="D629" s="22"/>
      <c r="E629" s="22"/>
      <c r="F629" s="23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3"/>
      <c r="AF629" s="24"/>
      <c r="AG629" s="24"/>
      <c r="AH629" s="24"/>
      <c r="AI629" s="24"/>
      <c r="AJ629" s="22"/>
      <c r="AK629" s="22"/>
    </row>
    <row r="630">
      <c r="A630" s="22"/>
      <c r="B630" s="22"/>
      <c r="C630" s="22"/>
      <c r="D630" s="22"/>
      <c r="E630" s="22"/>
      <c r="F630" s="23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3"/>
      <c r="AF630" s="24"/>
      <c r="AG630" s="24"/>
      <c r="AH630" s="24"/>
      <c r="AI630" s="24"/>
      <c r="AJ630" s="22"/>
      <c r="AK630" s="22"/>
    </row>
    <row r="631">
      <c r="A631" s="22"/>
      <c r="B631" s="22"/>
      <c r="C631" s="22"/>
      <c r="D631" s="22"/>
      <c r="E631" s="22"/>
      <c r="F631" s="23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3"/>
      <c r="AF631" s="24"/>
      <c r="AG631" s="24"/>
      <c r="AH631" s="24"/>
      <c r="AI631" s="24"/>
      <c r="AJ631" s="22"/>
      <c r="AK631" s="22"/>
    </row>
    <row r="632">
      <c r="A632" s="22"/>
      <c r="B632" s="22"/>
      <c r="C632" s="22"/>
      <c r="D632" s="22"/>
      <c r="E632" s="22"/>
      <c r="F632" s="23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3"/>
      <c r="AF632" s="24"/>
      <c r="AG632" s="24"/>
      <c r="AH632" s="24"/>
      <c r="AI632" s="24"/>
      <c r="AJ632" s="22"/>
      <c r="AK632" s="22"/>
    </row>
    <row r="633">
      <c r="A633" s="22"/>
      <c r="B633" s="22"/>
      <c r="C633" s="22"/>
      <c r="D633" s="22"/>
      <c r="E633" s="22"/>
      <c r="F633" s="23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3"/>
      <c r="AF633" s="24"/>
      <c r="AG633" s="24"/>
      <c r="AH633" s="24"/>
      <c r="AI633" s="24"/>
      <c r="AJ633" s="22"/>
      <c r="AK633" s="22"/>
    </row>
    <row r="634">
      <c r="A634" s="22"/>
      <c r="B634" s="22"/>
      <c r="C634" s="22"/>
      <c r="D634" s="22"/>
      <c r="E634" s="22"/>
      <c r="F634" s="23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3"/>
      <c r="AF634" s="24"/>
      <c r="AG634" s="24"/>
      <c r="AH634" s="24"/>
      <c r="AI634" s="24"/>
      <c r="AJ634" s="22"/>
      <c r="AK634" s="22"/>
    </row>
    <row r="635">
      <c r="A635" s="22"/>
      <c r="B635" s="22"/>
      <c r="C635" s="22"/>
      <c r="D635" s="22"/>
      <c r="E635" s="22"/>
      <c r="F635" s="23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3"/>
      <c r="AF635" s="24"/>
      <c r="AG635" s="24"/>
      <c r="AH635" s="24"/>
      <c r="AI635" s="24"/>
      <c r="AJ635" s="22"/>
      <c r="AK635" s="22"/>
    </row>
    <row r="636">
      <c r="A636" s="22"/>
      <c r="B636" s="22"/>
      <c r="C636" s="22"/>
      <c r="D636" s="22"/>
      <c r="E636" s="22"/>
      <c r="F636" s="23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3"/>
      <c r="AF636" s="24"/>
      <c r="AG636" s="24"/>
      <c r="AH636" s="24"/>
      <c r="AI636" s="24"/>
      <c r="AJ636" s="22"/>
      <c r="AK636" s="22"/>
    </row>
    <row r="637">
      <c r="A637" s="22"/>
      <c r="B637" s="22"/>
      <c r="C637" s="22"/>
      <c r="D637" s="22"/>
      <c r="E637" s="22"/>
      <c r="F637" s="23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3"/>
      <c r="AF637" s="24"/>
      <c r="AG637" s="24"/>
      <c r="AH637" s="24"/>
      <c r="AI637" s="24"/>
      <c r="AJ637" s="22"/>
      <c r="AK637" s="22"/>
    </row>
    <row r="638">
      <c r="A638" s="22"/>
      <c r="B638" s="22"/>
      <c r="C638" s="22"/>
      <c r="D638" s="22"/>
      <c r="E638" s="22"/>
      <c r="F638" s="23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3"/>
      <c r="AF638" s="24"/>
      <c r="AG638" s="24"/>
      <c r="AH638" s="24"/>
      <c r="AI638" s="24"/>
      <c r="AJ638" s="22"/>
      <c r="AK638" s="22"/>
    </row>
    <row r="639">
      <c r="A639" s="22"/>
      <c r="B639" s="22"/>
      <c r="C639" s="22"/>
      <c r="D639" s="22"/>
      <c r="E639" s="22"/>
      <c r="F639" s="23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3"/>
      <c r="AF639" s="24"/>
      <c r="AG639" s="24"/>
      <c r="AH639" s="24"/>
      <c r="AI639" s="24"/>
      <c r="AJ639" s="22"/>
      <c r="AK639" s="22"/>
    </row>
    <row r="640">
      <c r="A640" s="22"/>
      <c r="B640" s="22"/>
      <c r="C640" s="22"/>
      <c r="D640" s="22"/>
      <c r="E640" s="22"/>
      <c r="F640" s="23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3"/>
      <c r="AF640" s="24"/>
      <c r="AG640" s="24"/>
      <c r="AH640" s="24"/>
      <c r="AI640" s="24"/>
      <c r="AJ640" s="22"/>
      <c r="AK640" s="22"/>
    </row>
    <row r="641">
      <c r="A641" s="22"/>
      <c r="B641" s="22"/>
      <c r="C641" s="22"/>
      <c r="D641" s="22"/>
      <c r="E641" s="22"/>
      <c r="F641" s="23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3"/>
      <c r="AF641" s="24"/>
      <c r="AG641" s="24"/>
      <c r="AH641" s="24"/>
      <c r="AI641" s="24"/>
      <c r="AJ641" s="22"/>
      <c r="AK641" s="22"/>
    </row>
    <row r="642">
      <c r="A642" s="22"/>
      <c r="B642" s="22"/>
      <c r="C642" s="22"/>
      <c r="D642" s="22"/>
      <c r="E642" s="22"/>
      <c r="F642" s="23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3"/>
      <c r="AF642" s="24"/>
      <c r="AG642" s="24"/>
      <c r="AH642" s="24"/>
      <c r="AI642" s="24"/>
      <c r="AJ642" s="22"/>
      <c r="AK642" s="22"/>
    </row>
    <row r="643">
      <c r="A643" s="22"/>
      <c r="B643" s="22"/>
      <c r="C643" s="22"/>
      <c r="D643" s="22"/>
      <c r="E643" s="22"/>
      <c r="F643" s="23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3"/>
      <c r="AF643" s="24"/>
      <c r="AG643" s="24"/>
      <c r="AH643" s="24"/>
      <c r="AI643" s="24"/>
      <c r="AJ643" s="22"/>
      <c r="AK643" s="22"/>
    </row>
    <row r="644">
      <c r="A644" s="22"/>
      <c r="B644" s="22"/>
      <c r="C644" s="22"/>
      <c r="D644" s="22"/>
      <c r="E644" s="22"/>
      <c r="F644" s="23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3"/>
      <c r="AF644" s="24"/>
      <c r="AG644" s="24"/>
      <c r="AH644" s="24"/>
      <c r="AI644" s="24"/>
      <c r="AJ644" s="22"/>
      <c r="AK644" s="22"/>
    </row>
    <row r="645">
      <c r="A645" s="22"/>
      <c r="B645" s="22"/>
      <c r="C645" s="22"/>
      <c r="D645" s="22"/>
      <c r="E645" s="22"/>
      <c r="F645" s="23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3"/>
      <c r="AF645" s="24"/>
      <c r="AG645" s="24"/>
      <c r="AH645" s="24"/>
      <c r="AI645" s="24"/>
      <c r="AJ645" s="22"/>
      <c r="AK645" s="22"/>
    </row>
    <row r="646">
      <c r="A646" s="22"/>
      <c r="B646" s="22"/>
      <c r="C646" s="22"/>
      <c r="D646" s="22"/>
      <c r="E646" s="22"/>
      <c r="F646" s="23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3"/>
      <c r="AF646" s="24"/>
      <c r="AG646" s="24"/>
      <c r="AH646" s="24"/>
      <c r="AI646" s="24"/>
      <c r="AJ646" s="22"/>
      <c r="AK646" s="22"/>
    </row>
    <row r="647">
      <c r="A647" s="22"/>
      <c r="B647" s="22"/>
      <c r="C647" s="22"/>
      <c r="D647" s="22"/>
      <c r="E647" s="22"/>
      <c r="F647" s="23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3"/>
      <c r="AF647" s="24"/>
      <c r="AG647" s="24"/>
      <c r="AH647" s="24"/>
      <c r="AI647" s="24"/>
      <c r="AJ647" s="22"/>
      <c r="AK647" s="22"/>
    </row>
    <row r="648">
      <c r="A648" s="22"/>
      <c r="B648" s="22"/>
      <c r="C648" s="22"/>
      <c r="D648" s="22"/>
      <c r="E648" s="22"/>
      <c r="F648" s="23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3"/>
      <c r="AF648" s="24"/>
      <c r="AG648" s="24"/>
      <c r="AH648" s="24"/>
      <c r="AI648" s="24"/>
      <c r="AJ648" s="22"/>
      <c r="AK648" s="22"/>
    </row>
    <row r="649">
      <c r="A649" s="22"/>
      <c r="B649" s="22"/>
      <c r="C649" s="22"/>
      <c r="D649" s="22"/>
      <c r="E649" s="22"/>
      <c r="F649" s="23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3"/>
      <c r="AF649" s="24"/>
      <c r="AG649" s="24"/>
      <c r="AH649" s="24"/>
      <c r="AI649" s="24"/>
      <c r="AJ649" s="22"/>
      <c r="AK649" s="22"/>
    </row>
    <row r="650">
      <c r="A650" s="22"/>
      <c r="B650" s="22"/>
      <c r="C650" s="22"/>
      <c r="D650" s="22"/>
      <c r="E650" s="22"/>
      <c r="F650" s="23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3"/>
      <c r="AF650" s="24"/>
      <c r="AG650" s="24"/>
      <c r="AH650" s="24"/>
      <c r="AI650" s="24"/>
      <c r="AJ650" s="22"/>
      <c r="AK650" s="22"/>
    </row>
    <row r="651">
      <c r="A651" s="22"/>
      <c r="B651" s="22"/>
      <c r="C651" s="22"/>
      <c r="D651" s="22"/>
      <c r="E651" s="22"/>
      <c r="F651" s="23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3"/>
      <c r="AF651" s="24"/>
      <c r="AG651" s="24"/>
      <c r="AH651" s="24"/>
      <c r="AI651" s="24"/>
      <c r="AJ651" s="22"/>
      <c r="AK651" s="22"/>
    </row>
    <row r="652">
      <c r="A652" s="22"/>
      <c r="B652" s="22"/>
      <c r="C652" s="22"/>
      <c r="D652" s="22"/>
      <c r="E652" s="22"/>
      <c r="F652" s="23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3"/>
      <c r="AF652" s="24"/>
      <c r="AG652" s="24"/>
      <c r="AH652" s="24"/>
      <c r="AI652" s="24"/>
      <c r="AJ652" s="22"/>
      <c r="AK652" s="22"/>
    </row>
    <row r="653">
      <c r="A653" s="22"/>
      <c r="B653" s="22"/>
      <c r="C653" s="22"/>
      <c r="D653" s="22"/>
      <c r="E653" s="22"/>
      <c r="F653" s="23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3"/>
      <c r="AF653" s="24"/>
      <c r="AG653" s="24"/>
      <c r="AH653" s="24"/>
      <c r="AI653" s="24"/>
      <c r="AJ653" s="22"/>
      <c r="AK653" s="22"/>
    </row>
    <row r="654">
      <c r="A654" s="22"/>
      <c r="B654" s="22"/>
      <c r="C654" s="22"/>
      <c r="D654" s="22"/>
      <c r="E654" s="22"/>
      <c r="F654" s="23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3"/>
      <c r="AF654" s="24"/>
      <c r="AG654" s="24"/>
      <c r="AH654" s="24"/>
      <c r="AI654" s="24"/>
      <c r="AJ654" s="22"/>
      <c r="AK654" s="22"/>
    </row>
    <row r="655">
      <c r="A655" s="22"/>
      <c r="B655" s="22"/>
      <c r="C655" s="22"/>
      <c r="D655" s="22"/>
      <c r="E655" s="22"/>
      <c r="F655" s="23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3"/>
      <c r="AF655" s="24"/>
      <c r="AG655" s="24"/>
      <c r="AH655" s="24"/>
      <c r="AI655" s="24"/>
      <c r="AJ655" s="22"/>
      <c r="AK655" s="22"/>
    </row>
    <row r="656">
      <c r="A656" s="22"/>
      <c r="B656" s="22"/>
      <c r="C656" s="22"/>
      <c r="D656" s="22"/>
      <c r="E656" s="22"/>
      <c r="F656" s="23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3"/>
      <c r="AF656" s="24"/>
      <c r="AG656" s="24"/>
      <c r="AH656" s="24"/>
      <c r="AI656" s="24"/>
      <c r="AJ656" s="22"/>
      <c r="AK656" s="22"/>
    </row>
    <row r="657">
      <c r="A657" s="22"/>
      <c r="B657" s="22"/>
      <c r="C657" s="22"/>
      <c r="D657" s="22"/>
      <c r="E657" s="22"/>
      <c r="F657" s="23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3"/>
      <c r="AF657" s="24"/>
      <c r="AG657" s="24"/>
      <c r="AH657" s="24"/>
      <c r="AI657" s="24"/>
      <c r="AJ657" s="22"/>
      <c r="AK657" s="22"/>
    </row>
    <row r="658">
      <c r="A658" s="22"/>
      <c r="B658" s="22"/>
      <c r="C658" s="22"/>
      <c r="D658" s="22"/>
      <c r="E658" s="22"/>
      <c r="F658" s="23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3"/>
      <c r="AF658" s="24"/>
      <c r="AG658" s="24"/>
      <c r="AH658" s="24"/>
      <c r="AI658" s="24"/>
      <c r="AJ658" s="22"/>
      <c r="AK658" s="22"/>
    </row>
    <row r="659">
      <c r="A659" s="22"/>
      <c r="B659" s="22"/>
      <c r="C659" s="22"/>
      <c r="D659" s="22"/>
      <c r="E659" s="22"/>
      <c r="F659" s="23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3"/>
      <c r="AF659" s="24"/>
      <c r="AG659" s="24"/>
      <c r="AH659" s="24"/>
      <c r="AI659" s="24"/>
      <c r="AJ659" s="22"/>
      <c r="AK659" s="22"/>
    </row>
    <row r="660">
      <c r="A660" s="22"/>
      <c r="B660" s="22"/>
      <c r="C660" s="22"/>
      <c r="D660" s="22"/>
      <c r="E660" s="22"/>
      <c r="F660" s="23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3"/>
      <c r="AF660" s="24"/>
      <c r="AG660" s="24"/>
      <c r="AH660" s="24"/>
      <c r="AI660" s="24"/>
      <c r="AJ660" s="22"/>
      <c r="AK660" s="22"/>
    </row>
    <row r="661">
      <c r="A661" s="22"/>
      <c r="B661" s="22"/>
      <c r="C661" s="22"/>
      <c r="D661" s="22"/>
      <c r="E661" s="22"/>
      <c r="F661" s="23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3"/>
      <c r="AF661" s="24"/>
      <c r="AG661" s="24"/>
      <c r="AH661" s="24"/>
      <c r="AI661" s="24"/>
      <c r="AJ661" s="22"/>
      <c r="AK661" s="22"/>
    </row>
    <row r="662">
      <c r="A662" s="22"/>
      <c r="B662" s="22"/>
      <c r="C662" s="22"/>
      <c r="D662" s="22"/>
      <c r="E662" s="22"/>
      <c r="F662" s="23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3"/>
      <c r="AF662" s="24"/>
      <c r="AG662" s="24"/>
      <c r="AH662" s="24"/>
      <c r="AI662" s="24"/>
      <c r="AJ662" s="22"/>
      <c r="AK662" s="22"/>
    </row>
    <row r="663">
      <c r="A663" s="22"/>
      <c r="B663" s="22"/>
      <c r="C663" s="22"/>
      <c r="D663" s="22"/>
      <c r="E663" s="22"/>
      <c r="F663" s="23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3"/>
      <c r="AF663" s="24"/>
      <c r="AG663" s="24"/>
      <c r="AH663" s="24"/>
      <c r="AI663" s="24"/>
      <c r="AJ663" s="22"/>
      <c r="AK663" s="22"/>
    </row>
    <row r="664">
      <c r="A664" s="22"/>
      <c r="B664" s="22"/>
      <c r="C664" s="22"/>
      <c r="D664" s="22"/>
      <c r="E664" s="22"/>
      <c r="F664" s="23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3"/>
      <c r="AF664" s="24"/>
      <c r="AG664" s="24"/>
      <c r="AH664" s="24"/>
      <c r="AI664" s="24"/>
      <c r="AJ664" s="22"/>
      <c r="AK664" s="22"/>
    </row>
    <row r="665">
      <c r="A665" s="22"/>
      <c r="B665" s="22"/>
      <c r="C665" s="22"/>
      <c r="D665" s="22"/>
      <c r="E665" s="22"/>
      <c r="F665" s="23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3"/>
      <c r="AF665" s="24"/>
      <c r="AG665" s="24"/>
      <c r="AH665" s="24"/>
      <c r="AI665" s="24"/>
      <c r="AJ665" s="22"/>
      <c r="AK665" s="22"/>
    </row>
    <row r="666">
      <c r="A666" s="22"/>
      <c r="B666" s="22"/>
      <c r="C666" s="22"/>
      <c r="D666" s="22"/>
      <c r="E666" s="22"/>
      <c r="F666" s="23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3"/>
      <c r="AF666" s="24"/>
      <c r="AG666" s="24"/>
      <c r="AH666" s="24"/>
      <c r="AI666" s="24"/>
      <c r="AJ666" s="22"/>
      <c r="AK666" s="22"/>
    </row>
    <row r="667">
      <c r="A667" s="22"/>
      <c r="B667" s="22"/>
      <c r="C667" s="22"/>
      <c r="D667" s="22"/>
      <c r="E667" s="22"/>
      <c r="F667" s="23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3"/>
      <c r="AF667" s="24"/>
      <c r="AG667" s="24"/>
      <c r="AH667" s="24"/>
      <c r="AI667" s="24"/>
      <c r="AJ667" s="22"/>
      <c r="AK667" s="22"/>
    </row>
    <row r="668">
      <c r="A668" s="22"/>
      <c r="B668" s="22"/>
      <c r="C668" s="22"/>
      <c r="D668" s="22"/>
      <c r="E668" s="22"/>
      <c r="F668" s="23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3"/>
      <c r="AF668" s="24"/>
      <c r="AG668" s="24"/>
      <c r="AH668" s="24"/>
      <c r="AI668" s="24"/>
      <c r="AJ668" s="22"/>
      <c r="AK668" s="22"/>
    </row>
    <row r="669">
      <c r="A669" s="22"/>
      <c r="B669" s="22"/>
      <c r="C669" s="22"/>
      <c r="D669" s="22"/>
      <c r="E669" s="22"/>
      <c r="F669" s="23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3"/>
      <c r="AF669" s="24"/>
      <c r="AG669" s="24"/>
      <c r="AH669" s="24"/>
      <c r="AI669" s="24"/>
      <c r="AJ669" s="22"/>
      <c r="AK669" s="22"/>
    </row>
    <row r="670">
      <c r="A670" s="22"/>
      <c r="B670" s="22"/>
      <c r="C670" s="22"/>
      <c r="D670" s="22"/>
      <c r="E670" s="22"/>
      <c r="F670" s="23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3"/>
      <c r="AF670" s="24"/>
      <c r="AG670" s="24"/>
      <c r="AH670" s="24"/>
      <c r="AI670" s="24"/>
      <c r="AJ670" s="22"/>
      <c r="AK670" s="22"/>
    </row>
    <row r="671">
      <c r="A671" s="22"/>
      <c r="B671" s="22"/>
      <c r="C671" s="22"/>
      <c r="D671" s="22"/>
      <c r="E671" s="22"/>
      <c r="F671" s="23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3"/>
      <c r="AF671" s="24"/>
      <c r="AG671" s="24"/>
      <c r="AH671" s="24"/>
      <c r="AI671" s="24"/>
      <c r="AJ671" s="22"/>
      <c r="AK671" s="22"/>
    </row>
    <row r="672">
      <c r="A672" s="22"/>
      <c r="B672" s="22"/>
      <c r="C672" s="22"/>
      <c r="D672" s="22"/>
      <c r="E672" s="22"/>
      <c r="F672" s="23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3"/>
      <c r="AF672" s="24"/>
      <c r="AG672" s="24"/>
      <c r="AH672" s="24"/>
      <c r="AI672" s="24"/>
      <c r="AJ672" s="22"/>
      <c r="AK672" s="22"/>
    </row>
    <row r="673">
      <c r="A673" s="22"/>
      <c r="B673" s="22"/>
      <c r="C673" s="22"/>
      <c r="D673" s="22"/>
      <c r="E673" s="22"/>
      <c r="F673" s="23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3"/>
      <c r="AF673" s="24"/>
      <c r="AG673" s="24"/>
      <c r="AH673" s="24"/>
      <c r="AI673" s="24"/>
      <c r="AJ673" s="22"/>
      <c r="AK673" s="22"/>
    </row>
    <row r="674">
      <c r="A674" s="22"/>
      <c r="B674" s="22"/>
      <c r="C674" s="22"/>
      <c r="D674" s="22"/>
      <c r="E674" s="22"/>
      <c r="F674" s="23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3"/>
      <c r="AF674" s="24"/>
      <c r="AG674" s="24"/>
      <c r="AH674" s="24"/>
      <c r="AI674" s="24"/>
      <c r="AJ674" s="22"/>
      <c r="AK674" s="22"/>
    </row>
    <row r="675">
      <c r="A675" s="22"/>
      <c r="B675" s="22"/>
      <c r="C675" s="22"/>
      <c r="D675" s="22"/>
      <c r="E675" s="22"/>
      <c r="F675" s="23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3"/>
      <c r="AF675" s="24"/>
      <c r="AG675" s="24"/>
      <c r="AH675" s="24"/>
      <c r="AI675" s="24"/>
      <c r="AJ675" s="22"/>
      <c r="AK675" s="22"/>
    </row>
    <row r="676">
      <c r="A676" s="22"/>
      <c r="B676" s="22"/>
      <c r="C676" s="22"/>
      <c r="D676" s="22"/>
      <c r="E676" s="22"/>
      <c r="F676" s="23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3"/>
      <c r="AF676" s="24"/>
      <c r="AG676" s="24"/>
      <c r="AH676" s="24"/>
      <c r="AI676" s="24"/>
      <c r="AJ676" s="22"/>
      <c r="AK676" s="22"/>
    </row>
    <row r="677">
      <c r="A677" s="22"/>
      <c r="B677" s="22"/>
      <c r="C677" s="22"/>
      <c r="D677" s="22"/>
      <c r="E677" s="22"/>
      <c r="F677" s="23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3"/>
      <c r="AF677" s="24"/>
      <c r="AG677" s="24"/>
      <c r="AH677" s="24"/>
      <c r="AI677" s="24"/>
      <c r="AJ677" s="22"/>
      <c r="AK677" s="22"/>
    </row>
    <row r="678">
      <c r="A678" s="22"/>
      <c r="B678" s="22"/>
      <c r="C678" s="22"/>
      <c r="D678" s="22"/>
      <c r="E678" s="22"/>
      <c r="F678" s="23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3"/>
      <c r="AF678" s="24"/>
      <c r="AG678" s="24"/>
      <c r="AH678" s="24"/>
      <c r="AI678" s="24"/>
      <c r="AJ678" s="22"/>
      <c r="AK678" s="22"/>
    </row>
    <row r="679">
      <c r="A679" s="22"/>
      <c r="B679" s="22"/>
      <c r="C679" s="22"/>
      <c r="D679" s="22"/>
      <c r="E679" s="22"/>
      <c r="F679" s="23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3"/>
      <c r="AF679" s="24"/>
      <c r="AG679" s="24"/>
      <c r="AH679" s="24"/>
      <c r="AI679" s="24"/>
      <c r="AJ679" s="22"/>
      <c r="AK679" s="22"/>
    </row>
    <row r="680">
      <c r="A680" s="22"/>
      <c r="B680" s="22"/>
      <c r="C680" s="22"/>
      <c r="D680" s="22"/>
      <c r="E680" s="22"/>
      <c r="F680" s="23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3"/>
      <c r="AF680" s="24"/>
      <c r="AG680" s="24"/>
      <c r="AH680" s="24"/>
      <c r="AI680" s="24"/>
      <c r="AJ680" s="22"/>
      <c r="AK680" s="22"/>
    </row>
    <row r="681">
      <c r="A681" s="22"/>
      <c r="B681" s="22"/>
      <c r="C681" s="22"/>
      <c r="D681" s="22"/>
      <c r="E681" s="22"/>
      <c r="F681" s="23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3"/>
      <c r="AF681" s="24"/>
      <c r="AG681" s="24"/>
      <c r="AH681" s="24"/>
      <c r="AI681" s="24"/>
      <c r="AJ681" s="22"/>
      <c r="AK681" s="22"/>
    </row>
    <row r="682">
      <c r="A682" s="22"/>
      <c r="B682" s="22"/>
      <c r="C682" s="22"/>
      <c r="D682" s="22"/>
      <c r="E682" s="22"/>
      <c r="F682" s="23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3"/>
      <c r="AF682" s="24"/>
      <c r="AG682" s="24"/>
      <c r="AH682" s="24"/>
      <c r="AI682" s="24"/>
      <c r="AJ682" s="22"/>
      <c r="AK682" s="22"/>
    </row>
    <row r="683">
      <c r="A683" s="22"/>
      <c r="B683" s="22"/>
      <c r="C683" s="22"/>
      <c r="D683" s="22"/>
      <c r="E683" s="22"/>
      <c r="F683" s="23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3"/>
      <c r="AF683" s="24"/>
      <c r="AG683" s="24"/>
      <c r="AH683" s="24"/>
      <c r="AI683" s="24"/>
      <c r="AJ683" s="22"/>
      <c r="AK683" s="22"/>
    </row>
    <row r="684">
      <c r="A684" s="22"/>
      <c r="B684" s="22"/>
      <c r="C684" s="22"/>
      <c r="D684" s="22"/>
      <c r="E684" s="22"/>
      <c r="F684" s="23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3"/>
      <c r="AF684" s="24"/>
      <c r="AG684" s="24"/>
      <c r="AH684" s="24"/>
      <c r="AI684" s="24"/>
      <c r="AJ684" s="22"/>
      <c r="AK684" s="22"/>
    </row>
    <row r="685">
      <c r="A685" s="22"/>
      <c r="B685" s="22"/>
      <c r="C685" s="22"/>
      <c r="D685" s="22"/>
      <c r="E685" s="22"/>
      <c r="F685" s="23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3"/>
      <c r="AF685" s="24"/>
      <c r="AG685" s="24"/>
      <c r="AH685" s="24"/>
      <c r="AI685" s="24"/>
      <c r="AJ685" s="22"/>
      <c r="AK685" s="22"/>
    </row>
    <row r="686">
      <c r="A686" s="22"/>
      <c r="B686" s="22"/>
      <c r="C686" s="22"/>
      <c r="D686" s="22"/>
      <c r="E686" s="22"/>
      <c r="F686" s="23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3"/>
      <c r="AF686" s="24"/>
      <c r="AG686" s="24"/>
      <c r="AH686" s="24"/>
      <c r="AI686" s="24"/>
      <c r="AJ686" s="22"/>
      <c r="AK686" s="22"/>
    </row>
    <row r="687">
      <c r="A687" s="22"/>
      <c r="B687" s="22"/>
      <c r="C687" s="22"/>
      <c r="D687" s="22"/>
      <c r="E687" s="22"/>
      <c r="F687" s="23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3"/>
      <c r="AF687" s="24"/>
      <c r="AG687" s="24"/>
      <c r="AH687" s="24"/>
      <c r="AI687" s="24"/>
      <c r="AJ687" s="22"/>
      <c r="AK687" s="22"/>
    </row>
    <row r="688">
      <c r="A688" s="22"/>
      <c r="B688" s="22"/>
      <c r="C688" s="22"/>
      <c r="D688" s="22"/>
      <c r="E688" s="22"/>
      <c r="F688" s="23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3"/>
      <c r="AF688" s="24"/>
      <c r="AG688" s="24"/>
      <c r="AH688" s="24"/>
      <c r="AI688" s="24"/>
      <c r="AJ688" s="22"/>
      <c r="AK688" s="22"/>
    </row>
    <row r="689">
      <c r="A689" s="22"/>
      <c r="B689" s="22"/>
      <c r="C689" s="22"/>
      <c r="D689" s="22"/>
      <c r="E689" s="22"/>
      <c r="F689" s="23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3"/>
      <c r="AF689" s="24"/>
      <c r="AG689" s="24"/>
      <c r="AH689" s="24"/>
      <c r="AI689" s="24"/>
      <c r="AJ689" s="22"/>
      <c r="AK689" s="22"/>
    </row>
    <row r="690">
      <c r="A690" s="22"/>
      <c r="B690" s="22"/>
      <c r="C690" s="22"/>
      <c r="D690" s="22"/>
      <c r="E690" s="22"/>
      <c r="F690" s="23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3"/>
      <c r="AF690" s="24"/>
      <c r="AG690" s="24"/>
      <c r="AH690" s="24"/>
      <c r="AI690" s="24"/>
      <c r="AJ690" s="22"/>
      <c r="AK690" s="22"/>
    </row>
    <row r="691">
      <c r="A691" s="22"/>
      <c r="B691" s="22"/>
      <c r="C691" s="22"/>
      <c r="D691" s="22"/>
      <c r="E691" s="22"/>
      <c r="F691" s="23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3"/>
      <c r="AF691" s="24"/>
      <c r="AG691" s="24"/>
      <c r="AH691" s="24"/>
      <c r="AI691" s="24"/>
      <c r="AJ691" s="22"/>
      <c r="AK691" s="22"/>
    </row>
    <row r="692">
      <c r="A692" s="22"/>
      <c r="B692" s="22"/>
      <c r="C692" s="22"/>
      <c r="D692" s="22"/>
      <c r="E692" s="22"/>
      <c r="F692" s="23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3"/>
      <c r="AF692" s="24"/>
      <c r="AG692" s="24"/>
      <c r="AH692" s="24"/>
      <c r="AI692" s="24"/>
      <c r="AJ692" s="22"/>
      <c r="AK692" s="22"/>
    </row>
    <row r="693">
      <c r="A693" s="22"/>
      <c r="B693" s="22"/>
      <c r="C693" s="22"/>
      <c r="D693" s="22"/>
      <c r="E693" s="22"/>
      <c r="F693" s="23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3"/>
      <c r="AF693" s="24"/>
      <c r="AG693" s="24"/>
      <c r="AH693" s="24"/>
      <c r="AI693" s="24"/>
      <c r="AJ693" s="22"/>
      <c r="AK693" s="22"/>
    </row>
    <row r="694">
      <c r="A694" s="22"/>
      <c r="B694" s="22"/>
      <c r="C694" s="22"/>
      <c r="D694" s="22"/>
      <c r="E694" s="22"/>
      <c r="F694" s="23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3"/>
      <c r="AF694" s="24"/>
      <c r="AG694" s="24"/>
      <c r="AH694" s="24"/>
      <c r="AI694" s="24"/>
      <c r="AJ694" s="22"/>
      <c r="AK694" s="22"/>
    </row>
    <row r="695">
      <c r="A695" s="22"/>
      <c r="B695" s="22"/>
      <c r="C695" s="22"/>
      <c r="D695" s="22"/>
      <c r="E695" s="22"/>
      <c r="F695" s="23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3"/>
      <c r="AF695" s="24"/>
      <c r="AG695" s="24"/>
      <c r="AH695" s="24"/>
      <c r="AI695" s="24"/>
      <c r="AJ695" s="22"/>
      <c r="AK695" s="22"/>
    </row>
    <row r="696">
      <c r="A696" s="22"/>
      <c r="B696" s="22"/>
      <c r="C696" s="22"/>
      <c r="D696" s="22"/>
      <c r="E696" s="22"/>
      <c r="F696" s="23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3"/>
      <c r="AF696" s="24"/>
      <c r="AG696" s="24"/>
      <c r="AH696" s="24"/>
      <c r="AI696" s="24"/>
      <c r="AJ696" s="22"/>
      <c r="AK696" s="22"/>
    </row>
    <row r="697">
      <c r="A697" s="22"/>
      <c r="B697" s="22"/>
      <c r="C697" s="22"/>
      <c r="D697" s="22"/>
      <c r="E697" s="22"/>
      <c r="F697" s="23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3"/>
      <c r="AF697" s="24"/>
      <c r="AG697" s="24"/>
      <c r="AH697" s="24"/>
      <c r="AI697" s="24"/>
      <c r="AJ697" s="22"/>
      <c r="AK697" s="22"/>
    </row>
    <row r="698">
      <c r="A698" s="22"/>
      <c r="B698" s="22"/>
      <c r="C698" s="22"/>
      <c r="D698" s="22"/>
      <c r="E698" s="22"/>
      <c r="F698" s="23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3"/>
      <c r="AF698" s="24"/>
      <c r="AG698" s="24"/>
      <c r="AH698" s="24"/>
      <c r="AI698" s="24"/>
      <c r="AJ698" s="22"/>
      <c r="AK698" s="22"/>
    </row>
    <row r="699">
      <c r="A699" s="22"/>
      <c r="B699" s="22"/>
      <c r="C699" s="22"/>
      <c r="D699" s="22"/>
      <c r="E699" s="22"/>
      <c r="F699" s="23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3"/>
      <c r="AF699" s="24"/>
      <c r="AG699" s="24"/>
      <c r="AH699" s="24"/>
      <c r="AI699" s="24"/>
      <c r="AJ699" s="22"/>
      <c r="AK699" s="22"/>
    </row>
    <row r="700">
      <c r="A700" s="22"/>
      <c r="B700" s="22"/>
      <c r="C700" s="22"/>
      <c r="D700" s="22"/>
      <c r="E700" s="22"/>
      <c r="F700" s="23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3"/>
      <c r="AF700" s="24"/>
      <c r="AG700" s="24"/>
      <c r="AH700" s="24"/>
      <c r="AI700" s="24"/>
      <c r="AJ700" s="22"/>
      <c r="AK700" s="22"/>
    </row>
    <row r="701">
      <c r="A701" s="22"/>
      <c r="B701" s="22"/>
      <c r="C701" s="22"/>
      <c r="D701" s="22"/>
      <c r="E701" s="22"/>
      <c r="F701" s="23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3"/>
      <c r="AF701" s="24"/>
      <c r="AG701" s="24"/>
      <c r="AH701" s="24"/>
      <c r="AI701" s="24"/>
      <c r="AJ701" s="22"/>
      <c r="AK701" s="22"/>
    </row>
    <row r="702">
      <c r="A702" s="22"/>
      <c r="B702" s="22"/>
      <c r="C702" s="22"/>
      <c r="D702" s="22"/>
      <c r="E702" s="22"/>
      <c r="F702" s="23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3"/>
      <c r="AF702" s="24"/>
      <c r="AG702" s="24"/>
      <c r="AH702" s="24"/>
      <c r="AI702" s="24"/>
      <c r="AJ702" s="22"/>
      <c r="AK702" s="22"/>
    </row>
    <row r="703">
      <c r="A703" s="22"/>
      <c r="B703" s="22"/>
      <c r="C703" s="22"/>
      <c r="D703" s="22"/>
      <c r="E703" s="22"/>
      <c r="F703" s="23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3"/>
      <c r="AF703" s="24"/>
      <c r="AG703" s="24"/>
      <c r="AH703" s="24"/>
      <c r="AI703" s="24"/>
      <c r="AJ703" s="22"/>
      <c r="AK703" s="22"/>
    </row>
    <row r="704">
      <c r="A704" s="22"/>
      <c r="B704" s="22"/>
      <c r="C704" s="22"/>
      <c r="D704" s="22"/>
      <c r="E704" s="22"/>
      <c r="F704" s="23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3"/>
      <c r="AF704" s="24"/>
      <c r="AG704" s="24"/>
      <c r="AH704" s="24"/>
      <c r="AI704" s="24"/>
      <c r="AJ704" s="22"/>
      <c r="AK704" s="22"/>
    </row>
    <row r="705">
      <c r="A705" s="22"/>
      <c r="B705" s="22"/>
      <c r="C705" s="22"/>
      <c r="D705" s="22"/>
      <c r="E705" s="22"/>
      <c r="F705" s="23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3"/>
      <c r="AF705" s="24"/>
      <c r="AG705" s="24"/>
      <c r="AH705" s="24"/>
      <c r="AI705" s="24"/>
      <c r="AJ705" s="22"/>
      <c r="AK705" s="22"/>
    </row>
    <row r="706">
      <c r="A706" s="22"/>
      <c r="B706" s="22"/>
      <c r="C706" s="22"/>
      <c r="D706" s="22"/>
      <c r="E706" s="22"/>
      <c r="F706" s="23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3"/>
      <c r="AF706" s="24"/>
      <c r="AG706" s="24"/>
      <c r="AH706" s="24"/>
      <c r="AI706" s="24"/>
      <c r="AJ706" s="22"/>
      <c r="AK706" s="22"/>
    </row>
    <row r="707">
      <c r="A707" s="22"/>
      <c r="B707" s="22"/>
      <c r="C707" s="22"/>
      <c r="D707" s="22"/>
      <c r="E707" s="22"/>
      <c r="F707" s="23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3"/>
      <c r="AF707" s="24"/>
      <c r="AG707" s="24"/>
      <c r="AH707" s="24"/>
      <c r="AI707" s="24"/>
      <c r="AJ707" s="22"/>
      <c r="AK707" s="22"/>
    </row>
    <row r="708">
      <c r="A708" s="22"/>
      <c r="B708" s="22"/>
      <c r="C708" s="22"/>
      <c r="D708" s="22"/>
      <c r="E708" s="22"/>
      <c r="F708" s="23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3"/>
      <c r="AF708" s="24"/>
      <c r="AG708" s="24"/>
      <c r="AH708" s="24"/>
      <c r="AI708" s="24"/>
      <c r="AJ708" s="22"/>
      <c r="AK708" s="22"/>
    </row>
    <row r="709">
      <c r="A709" s="22"/>
      <c r="B709" s="22"/>
      <c r="C709" s="22"/>
      <c r="D709" s="22"/>
      <c r="E709" s="22"/>
      <c r="F709" s="23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3"/>
      <c r="AF709" s="24"/>
      <c r="AG709" s="24"/>
      <c r="AH709" s="24"/>
      <c r="AI709" s="24"/>
      <c r="AJ709" s="22"/>
      <c r="AK709" s="22"/>
    </row>
    <row r="710">
      <c r="A710" s="22"/>
      <c r="B710" s="22"/>
      <c r="C710" s="22"/>
      <c r="D710" s="22"/>
      <c r="E710" s="22"/>
      <c r="F710" s="23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3"/>
      <c r="AF710" s="24"/>
      <c r="AG710" s="24"/>
      <c r="AH710" s="24"/>
      <c r="AI710" s="24"/>
      <c r="AJ710" s="22"/>
      <c r="AK710" s="22"/>
    </row>
    <row r="711">
      <c r="A711" s="22"/>
      <c r="B711" s="22"/>
      <c r="C711" s="22"/>
      <c r="D711" s="22"/>
      <c r="E711" s="22"/>
      <c r="F711" s="23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3"/>
      <c r="AF711" s="24"/>
      <c r="AG711" s="24"/>
      <c r="AH711" s="24"/>
      <c r="AI711" s="24"/>
      <c r="AJ711" s="22"/>
      <c r="AK711" s="22"/>
    </row>
    <row r="712">
      <c r="A712" s="22"/>
      <c r="B712" s="22"/>
      <c r="C712" s="22"/>
      <c r="D712" s="22"/>
      <c r="E712" s="22"/>
      <c r="F712" s="23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3"/>
      <c r="AF712" s="24"/>
      <c r="AG712" s="24"/>
      <c r="AH712" s="24"/>
      <c r="AI712" s="24"/>
      <c r="AJ712" s="22"/>
      <c r="AK712" s="22"/>
    </row>
    <row r="713">
      <c r="A713" s="22"/>
      <c r="B713" s="22"/>
      <c r="C713" s="22"/>
      <c r="D713" s="22"/>
      <c r="E713" s="22"/>
      <c r="F713" s="23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3"/>
      <c r="AF713" s="24"/>
      <c r="AG713" s="24"/>
      <c r="AH713" s="24"/>
      <c r="AI713" s="24"/>
      <c r="AJ713" s="22"/>
      <c r="AK713" s="22"/>
    </row>
    <row r="714">
      <c r="A714" s="22"/>
      <c r="B714" s="22"/>
      <c r="C714" s="22"/>
      <c r="D714" s="22"/>
      <c r="E714" s="22"/>
      <c r="F714" s="23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3"/>
      <c r="AF714" s="24"/>
      <c r="AG714" s="24"/>
      <c r="AH714" s="24"/>
      <c r="AI714" s="24"/>
      <c r="AJ714" s="22"/>
      <c r="AK714" s="22"/>
    </row>
    <row r="715">
      <c r="A715" s="22"/>
      <c r="B715" s="22"/>
      <c r="C715" s="22"/>
      <c r="D715" s="22"/>
      <c r="E715" s="22"/>
      <c r="F715" s="23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3"/>
      <c r="AF715" s="24"/>
      <c r="AG715" s="24"/>
      <c r="AH715" s="24"/>
      <c r="AI715" s="24"/>
      <c r="AJ715" s="22"/>
      <c r="AK715" s="22"/>
    </row>
    <row r="716">
      <c r="A716" s="22"/>
      <c r="B716" s="22"/>
      <c r="C716" s="22"/>
      <c r="D716" s="22"/>
      <c r="E716" s="22"/>
      <c r="F716" s="23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3"/>
      <c r="AF716" s="24"/>
      <c r="AG716" s="24"/>
      <c r="AH716" s="24"/>
      <c r="AI716" s="24"/>
      <c r="AJ716" s="22"/>
      <c r="AK716" s="22"/>
    </row>
    <row r="717">
      <c r="A717" s="22"/>
      <c r="B717" s="22"/>
      <c r="C717" s="22"/>
      <c r="D717" s="22"/>
      <c r="E717" s="22"/>
      <c r="F717" s="23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3"/>
      <c r="AF717" s="24"/>
      <c r="AG717" s="24"/>
      <c r="AH717" s="24"/>
      <c r="AI717" s="24"/>
      <c r="AJ717" s="22"/>
      <c r="AK717" s="22"/>
    </row>
    <row r="718">
      <c r="A718" s="22"/>
      <c r="B718" s="22"/>
      <c r="C718" s="22"/>
      <c r="D718" s="22"/>
      <c r="E718" s="22"/>
      <c r="F718" s="23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3"/>
      <c r="AF718" s="24"/>
      <c r="AG718" s="24"/>
      <c r="AH718" s="24"/>
      <c r="AI718" s="24"/>
      <c r="AJ718" s="22"/>
      <c r="AK718" s="22"/>
    </row>
    <row r="719">
      <c r="A719" s="22"/>
      <c r="B719" s="22"/>
      <c r="C719" s="22"/>
      <c r="D719" s="22"/>
      <c r="E719" s="22"/>
      <c r="F719" s="23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3"/>
      <c r="AF719" s="24"/>
      <c r="AG719" s="24"/>
      <c r="AH719" s="24"/>
      <c r="AI719" s="24"/>
      <c r="AJ719" s="22"/>
      <c r="AK719" s="22"/>
    </row>
    <row r="720">
      <c r="A720" s="22"/>
      <c r="B720" s="22"/>
      <c r="C720" s="22"/>
      <c r="D720" s="22"/>
      <c r="E720" s="22"/>
      <c r="F720" s="23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3"/>
      <c r="AF720" s="24"/>
      <c r="AG720" s="24"/>
      <c r="AH720" s="24"/>
      <c r="AI720" s="24"/>
      <c r="AJ720" s="22"/>
      <c r="AK720" s="22"/>
    </row>
    <row r="721">
      <c r="A721" s="22"/>
      <c r="B721" s="22"/>
      <c r="C721" s="22"/>
      <c r="D721" s="22"/>
      <c r="E721" s="22"/>
      <c r="F721" s="23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3"/>
      <c r="AF721" s="24"/>
      <c r="AG721" s="24"/>
      <c r="AH721" s="24"/>
      <c r="AI721" s="24"/>
      <c r="AJ721" s="22"/>
      <c r="AK721" s="22"/>
    </row>
    <row r="722">
      <c r="A722" s="22"/>
      <c r="B722" s="22"/>
      <c r="C722" s="22"/>
      <c r="D722" s="22"/>
      <c r="E722" s="22"/>
      <c r="F722" s="23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3"/>
      <c r="AF722" s="24"/>
      <c r="AG722" s="24"/>
      <c r="AH722" s="24"/>
      <c r="AI722" s="24"/>
      <c r="AJ722" s="22"/>
      <c r="AK722" s="22"/>
    </row>
    <row r="723">
      <c r="A723" s="22"/>
      <c r="B723" s="22"/>
      <c r="C723" s="22"/>
      <c r="D723" s="22"/>
      <c r="E723" s="22"/>
      <c r="F723" s="23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3"/>
      <c r="AF723" s="24"/>
      <c r="AG723" s="24"/>
      <c r="AH723" s="24"/>
      <c r="AI723" s="24"/>
      <c r="AJ723" s="22"/>
      <c r="AK723" s="22"/>
    </row>
    <row r="724">
      <c r="A724" s="22"/>
      <c r="B724" s="22"/>
      <c r="C724" s="22"/>
      <c r="D724" s="22"/>
      <c r="E724" s="22"/>
      <c r="F724" s="23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3"/>
      <c r="AF724" s="24"/>
      <c r="AG724" s="24"/>
      <c r="AH724" s="24"/>
      <c r="AI724" s="24"/>
      <c r="AJ724" s="22"/>
      <c r="AK724" s="22"/>
    </row>
    <row r="725">
      <c r="A725" s="22"/>
      <c r="B725" s="22"/>
      <c r="C725" s="22"/>
      <c r="D725" s="22"/>
      <c r="E725" s="22"/>
      <c r="F725" s="23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3"/>
      <c r="AF725" s="24"/>
      <c r="AG725" s="24"/>
      <c r="AH725" s="24"/>
      <c r="AI725" s="24"/>
      <c r="AJ725" s="22"/>
      <c r="AK725" s="22"/>
    </row>
    <row r="726">
      <c r="A726" s="22"/>
      <c r="B726" s="22"/>
      <c r="C726" s="22"/>
      <c r="D726" s="22"/>
      <c r="E726" s="22"/>
      <c r="F726" s="23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3"/>
      <c r="AF726" s="24"/>
      <c r="AG726" s="24"/>
      <c r="AH726" s="24"/>
      <c r="AI726" s="24"/>
      <c r="AJ726" s="22"/>
      <c r="AK726" s="22"/>
    </row>
    <row r="727">
      <c r="A727" s="22"/>
      <c r="B727" s="22"/>
      <c r="C727" s="22"/>
      <c r="D727" s="22"/>
      <c r="E727" s="22"/>
      <c r="F727" s="23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3"/>
      <c r="AF727" s="24"/>
      <c r="AG727" s="24"/>
      <c r="AH727" s="24"/>
      <c r="AI727" s="24"/>
      <c r="AJ727" s="22"/>
      <c r="AK727" s="22"/>
    </row>
    <row r="728">
      <c r="A728" s="22"/>
      <c r="B728" s="22"/>
      <c r="C728" s="22"/>
      <c r="D728" s="22"/>
      <c r="E728" s="22"/>
      <c r="F728" s="23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3"/>
      <c r="AF728" s="24"/>
      <c r="AG728" s="24"/>
      <c r="AH728" s="24"/>
      <c r="AI728" s="24"/>
      <c r="AJ728" s="22"/>
      <c r="AK728" s="22"/>
    </row>
    <row r="729">
      <c r="A729" s="22"/>
      <c r="B729" s="22"/>
      <c r="C729" s="22"/>
      <c r="D729" s="22"/>
      <c r="E729" s="22"/>
      <c r="F729" s="23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3"/>
      <c r="AF729" s="24"/>
      <c r="AG729" s="24"/>
      <c r="AH729" s="24"/>
      <c r="AI729" s="24"/>
      <c r="AJ729" s="22"/>
      <c r="AK729" s="22"/>
    </row>
    <row r="730">
      <c r="A730" s="22"/>
      <c r="B730" s="22"/>
      <c r="C730" s="22"/>
      <c r="D730" s="22"/>
      <c r="E730" s="22"/>
      <c r="F730" s="23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3"/>
      <c r="AF730" s="24"/>
      <c r="AG730" s="24"/>
      <c r="AH730" s="24"/>
      <c r="AI730" s="24"/>
      <c r="AJ730" s="22"/>
      <c r="AK730" s="22"/>
    </row>
    <row r="731">
      <c r="A731" s="22"/>
      <c r="B731" s="22"/>
      <c r="C731" s="22"/>
      <c r="D731" s="22"/>
      <c r="E731" s="22"/>
      <c r="F731" s="23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3"/>
      <c r="AF731" s="24"/>
      <c r="AG731" s="24"/>
      <c r="AH731" s="24"/>
      <c r="AI731" s="24"/>
      <c r="AJ731" s="22"/>
      <c r="AK731" s="22"/>
    </row>
    <row r="732">
      <c r="A732" s="22"/>
      <c r="B732" s="22"/>
      <c r="C732" s="22"/>
      <c r="D732" s="22"/>
      <c r="E732" s="22"/>
      <c r="F732" s="23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3"/>
      <c r="AF732" s="24"/>
      <c r="AG732" s="24"/>
      <c r="AH732" s="24"/>
      <c r="AI732" s="24"/>
      <c r="AJ732" s="22"/>
      <c r="AK732" s="22"/>
    </row>
    <row r="733">
      <c r="A733" s="22"/>
      <c r="B733" s="22"/>
      <c r="C733" s="22"/>
      <c r="D733" s="22"/>
      <c r="E733" s="22"/>
      <c r="F733" s="23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3"/>
      <c r="AF733" s="24"/>
      <c r="AG733" s="24"/>
      <c r="AH733" s="24"/>
      <c r="AI733" s="24"/>
      <c r="AJ733" s="22"/>
      <c r="AK733" s="22"/>
    </row>
    <row r="734">
      <c r="A734" s="22"/>
      <c r="B734" s="22"/>
      <c r="C734" s="22"/>
      <c r="D734" s="22"/>
      <c r="E734" s="22"/>
      <c r="F734" s="23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3"/>
      <c r="AF734" s="24"/>
      <c r="AG734" s="24"/>
      <c r="AH734" s="24"/>
      <c r="AI734" s="24"/>
      <c r="AJ734" s="22"/>
      <c r="AK734" s="22"/>
    </row>
    <row r="735">
      <c r="A735" s="22"/>
      <c r="B735" s="22"/>
      <c r="C735" s="22"/>
      <c r="D735" s="22"/>
      <c r="E735" s="22"/>
      <c r="F735" s="23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3"/>
      <c r="AF735" s="24"/>
      <c r="AG735" s="24"/>
      <c r="AH735" s="24"/>
      <c r="AI735" s="24"/>
      <c r="AJ735" s="22"/>
      <c r="AK735" s="22"/>
    </row>
    <row r="736">
      <c r="A736" s="22"/>
      <c r="B736" s="22"/>
      <c r="C736" s="22"/>
      <c r="D736" s="22"/>
      <c r="E736" s="22"/>
      <c r="F736" s="23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3"/>
      <c r="AF736" s="24"/>
      <c r="AG736" s="24"/>
      <c r="AH736" s="24"/>
      <c r="AI736" s="24"/>
      <c r="AJ736" s="22"/>
      <c r="AK736" s="22"/>
    </row>
    <row r="737">
      <c r="A737" s="22"/>
      <c r="B737" s="22"/>
      <c r="C737" s="22"/>
      <c r="D737" s="22"/>
      <c r="E737" s="22"/>
      <c r="F737" s="23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3"/>
      <c r="AF737" s="24"/>
      <c r="AG737" s="24"/>
      <c r="AH737" s="24"/>
      <c r="AI737" s="24"/>
      <c r="AJ737" s="22"/>
      <c r="AK737" s="22"/>
    </row>
    <row r="738">
      <c r="A738" s="22"/>
      <c r="B738" s="22"/>
      <c r="C738" s="22"/>
      <c r="D738" s="22"/>
      <c r="E738" s="22"/>
      <c r="F738" s="23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3"/>
      <c r="AF738" s="24"/>
      <c r="AG738" s="24"/>
      <c r="AH738" s="24"/>
      <c r="AI738" s="24"/>
      <c r="AJ738" s="22"/>
      <c r="AK738" s="22"/>
    </row>
    <row r="739">
      <c r="A739" s="22"/>
      <c r="B739" s="22"/>
      <c r="C739" s="22"/>
      <c r="D739" s="22"/>
      <c r="E739" s="22"/>
      <c r="F739" s="23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3"/>
      <c r="AF739" s="24"/>
      <c r="AG739" s="24"/>
      <c r="AH739" s="24"/>
      <c r="AI739" s="24"/>
      <c r="AJ739" s="22"/>
      <c r="AK739" s="22"/>
    </row>
    <row r="740">
      <c r="A740" s="22"/>
      <c r="B740" s="22"/>
      <c r="C740" s="22"/>
      <c r="D740" s="22"/>
      <c r="E740" s="22"/>
      <c r="F740" s="23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3"/>
      <c r="AF740" s="24"/>
      <c r="AG740" s="24"/>
      <c r="AH740" s="24"/>
      <c r="AI740" s="24"/>
      <c r="AJ740" s="22"/>
      <c r="AK740" s="22"/>
    </row>
    <row r="741">
      <c r="A741" s="22"/>
      <c r="B741" s="22"/>
      <c r="C741" s="22"/>
      <c r="D741" s="22"/>
      <c r="E741" s="22"/>
      <c r="F741" s="23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3"/>
      <c r="AF741" s="24"/>
      <c r="AG741" s="24"/>
      <c r="AH741" s="24"/>
      <c r="AI741" s="24"/>
      <c r="AJ741" s="22"/>
      <c r="AK741" s="22"/>
    </row>
    <row r="742">
      <c r="A742" s="22"/>
      <c r="B742" s="22"/>
      <c r="C742" s="22"/>
      <c r="D742" s="22"/>
      <c r="E742" s="22"/>
      <c r="F742" s="23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3"/>
      <c r="AF742" s="24"/>
      <c r="AG742" s="24"/>
      <c r="AH742" s="24"/>
      <c r="AI742" s="24"/>
      <c r="AJ742" s="22"/>
      <c r="AK742" s="22"/>
    </row>
    <row r="743">
      <c r="A743" s="22"/>
      <c r="B743" s="22"/>
      <c r="C743" s="22"/>
      <c r="D743" s="22"/>
      <c r="E743" s="22"/>
      <c r="F743" s="23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3"/>
      <c r="AF743" s="24"/>
      <c r="AG743" s="24"/>
      <c r="AH743" s="24"/>
      <c r="AI743" s="24"/>
      <c r="AJ743" s="22"/>
      <c r="AK743" s="22"/>
    </row>
    <row r="744">
      <c r="A744" s="22"/>
      <c r="B744" s="22"/>
      <c r="C744" s="22"/>
      <c r="D744" s="22"/>
      <c r="E744" s="22"/>
      <c r="F744" s="23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3"/>
      <c r="AF744" s="24"/>
      <c r="AG744" s="24"/>
      <c r="AH744" s="24"/>
      <c r="AI744" s="24"/>
      <c r="AJ744" s="22"/>
      <c r="AK744" s="22"/>
    </row>
    <row r="745">
      <c r="A745" s="22"/>
      <c r="B745" s="22"/>
      <c r="C745" s="22"/>
      <c r="D745" s="22"/>
      <c r="E745" s="22"/>
      <c r="F745" s="23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3"/>
      <c r="AF745" s="24"/>
      <c r="AG745" s="24"/>
      <c r="AH745" s="24"/>
      <c r="AI745" s="24"/>
      <c r="AJ745" s="22"/>
      <c r="AK745" s="22"/>
    </row>
    <row r="746">
      <c r="A746" s="22"/>
      <c r="B746" s="22"/>
      <c r="C746" s="22"/>
      <c r="D746" s="22"/>
      <c r="E746" s="22"/>
      <c r="F746" s="23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3"/>
      <c r="AF746" s="24"/>
      <c r="AG746" s="24"/>
      <c r="AH746" s="24"/>
      <c r="AI746" s="24"/>
      <c r="AJ746" s="22"/>
      <c r="AK746" s="22"/>
    </row>
    <row r="747">
      <c r="A747" s="22"/>
      <c r="B747" s="22"/>
      <c r="C747" s="22"/>
      <c r="D747" s="22"/>
      <c r="E747" s="22"/>
      <c r="F747" s="23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3"/>
      <c r="AF747" s="24"/>
      <c r="AG747" s="24"/>
      <c r="AH747" s="24"/>
      <c r="AI747" s="24"/>
      <c r="AJ747" s="22"/>
      <c r="AK747" s="22"/>
    </row>
    <row r="748">
      <c r="A748" s="22"/>
      <c r="B748" s="22"/>
      <c r="C748" s="22"/>
      <c r="D748" s="22"/>
      <c r="E748" s="22"/>
      <c r="F748" s="23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3"/>
      <c r="AF748" s="24"/>
      <c r="AG748" s="24"/>
      <c r="AH748" s="24"/>
      <c r="AI748" s="24"/>
      <c r="AJ748" s="22"/>
      <c r="AK748" s="22"/>
    </row>
    <row r="749">
      <c r="A749" s="22"/>
      <c r="B749" s="22"/>
      <c r="C749" s="22"/>
      <c r="D749" s="22"/>
      <c r="E749" s="22"/>
      <c r="F749" s="23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3"/>
      <c r="AF749" s="24"/>
      <c r="AG749" s="24"/>
      <c r="AH749" s="24"/>
      <c r="AI749" s="24"/>
      <c r="AJ749" s="22"/>
      <c r="AK749" s="22"/>
    </row>
    <row r="750">
      <c r="A750" s="22"/>
      <c r="B750" s="22"/>
      <c r="C750" s="22"/>
      <c r="D750" s="22"/>
      <c r="E750" s="22"/>
      <c r="F750" s="23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3"/>
      <c r="AF750" s="24"/>
      <c r="AG750" s="24"/>
      <c r="AH750" s="24"/>
      <c r="AI750" s="24"/>
      <c r="AJ750" s="22"/>
      <c r="AK750" s="22"/>
    </row>
    <row r="751">
      <c r="A751" s="22"/>
      <c r="B751" s="22"/>
      <c r="C751" s="22"/>
      <c r="D751" s="22"/>
      <c r="E751" s="22"/>
      <c r="F751" s="23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3"/>
      <c r="AF751" s="24"/>
      <c r="AG751" s="24"/>
      <c r="AH751" s="24"/>
      <c r="AI751" s="24"/>
      <c r="AJ751" s="22"/>
      <c r="AK751" s="22"/>
    </row>
    <row r="752">
      <c r="A752" s="22"/>
      <c r="B752" s="22"/>
      <c r="C752" s="22"/>
      <c r="D752" s="22"/>
      <c r="E752" s="22"/>
      <c r="F752" s="23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3"/>
      <c r="AF752" s="24"/>
      <c r="AG752" s="24"/>
      <c r="AH752" s="24"/>
      <c r="AI752" s="24"/>
      <c r="AJ752" s="22"/>
      <c r="AK752" s="22"/>
    </row>
    <row r="753">
      <c r="A753" s="22"/>
      <c r="B753" s="22"/>
      <c r="C753" s="22"/>
      <c r="D753" s="22"/>
      <c r="E753" s="22"/>
      <c r="F753" s="23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3"/>
      <c r="AF753" s="24"/>
      <c r="AG753" s="24"/>
      <c r="AH753" s="24"/>
      <c r="AI753" s="24"/>
      <c r="AJ753" s="22"/>
      <c r="AK753" s="22"/>
    </row>
    <row r="754">
      <c r="A754" s="22"/>
      <c r="B754" s="22"/>
      <c r="C754" s="22"/>
      <c r="D754" s="22"/>
      <c r="E754" s="22"/>
      <c r="F754" s="23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3"/>
      <c r="AF754" s="24"/>
      <c r="AG754" s="24"/>
      <c r="AH754" s="24"/>
      <c r="AI754" s="24"/>
      <c r="AJ754" s="22"/>
      <c r="AK754" s="22"/>
    </row>
    <row r="755">
      <c r="A755" s="22"/>
      <c r="B755" s="22"/>
      <c r="C755" s="22"/>
      <c r="D755" s="22"/>
      <c r="E755" s="22"/>
      <c r="F755" s="23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3"/>
      <c r="AF755" s="24"/>
      <c r="AG755" s="24"/>
      <c r="AH755" s="24"/>
      <c r="AI755" s="24"/>
      <c r="AJ755" s="22"/>
      <c r="AK755" s="22"/>
    </row>
    <row r="756">
      <c r="A756" s="22"/>
      <c r="B756" s="22"/>
      <c r="C756" s="22"/>
      <c r="D756" s="22"/>
      <c r="E756" s="22"/>
      <c r="F756" s="23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3"/>
      <c r="AF756" s="24"/>
      <c r="AG756" s="24"/>
      <c r="AH756" s="24"/>
      <c r="AI756" s="24"/>
      <c r="AJ756" s="22"/>
      <c r="AK756" s="22"/>
    </row>
    <row r="757">
      <c r="A757" s="22"/>
      <c r="B757" s="22"/>
      <c r="C757" s="22"/>
      <c r="D757" s="22"/>
      <c r="E757" s="22"/>
      <c r="F757" s="23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3"/>
      <c r="AF757" s="24"/>
      <c r="AG757" s="24"/>
      <c r="AH757" s="24"/>
      <c r="AI757" s="24"/>
      <c r="AJ757" s="22"/>
      <c r="AK757" s="22"/>
    </row>
    <row r="758">
      <c r="A758" s="22"/>
      <c r="B758" s="22"/>
      <c r="C758" s="22"/>
      <c r="D758" s="22"/>
      <c r="E758" s="22"/>
      <c r="F758" s="23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3"/>
      <c r="AF758" s="24"/>
      <c r="AG758" s="24"/>
      <c r="AH758" s="24"/>
      <c r="AI758" s="24"/>
      <c r="AJ758" s="22"/>
      <c r="AK758" s="22"/>
    </row>
    <row r="759">
      <c r="A759" s="22"/>
      <c r="B759" s="22"/>
      <c r="C759" s="22"/>
      <c r="D759" s="22"/>
      <c r="E759" s="22"/>
      <c r="F759" s="23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3"/>
      <c r="AF759" s="24"/>
      <c r="AG759" s="24"/>
      <c r="AH759" s="24"/>
      <c r="AI759" s="24"/>
      <c r="AJ759" s="22"/>
      <c r="AK759" s="22"/>
    </row>
    <row r="760">
      <c r="A760" s="22"/>
      <c r="B760" s="22"/>
      <c r="C760" s="22"/>
      <c r="D760" s="22"/>
      <c r="E760" s="22"/>
      <c r="F760" s="23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3"/>
      <c r="AF760" s="24"/>
      <c r="AG760" s="24"/>
      <c r="AH760" s="24"/>
      <c r="AI760" s="24"/>
      <c r="AJ760" s="22"/>
      <c r="AK760" s="22"/>
    </row>
    <row r="761">
      <c r="A761" s="22"/>
      <c r="B761" s="22"/>
      <c r="C761" s="22"/>
      <c r="D761" s="22"/>
      <c r="E761" s="22"/>
      <c r="F761" s="23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3"/>
      <c r="AF761" s="24"/>
      <c r="AG761" s="24"/>
      <c r="AH761" s="24"/>
      <c r="AI761" s="24"/>
      <c r="AJ761" s="22"/>
      <c r="AK761" s="22"/>
    </row>
    <row r="762">
      <c r="A762" s="22"/>
      <c r="B762" s="22"/>
      <c r="C762" s="22"/>
      <c r="D762" s="22"/>
      <c r="E762" s="22"/>
      <c r="F762" s="23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3"/>
      <c r="AF762" s="24"/>
      <c r="AG762" s="24"/>
      <c r="AH762" s="24"/>
      <c r="AI762" s="24"/>
      <c r="AJ762" s="22"/>
      <c r="AK762" s="22"/>
    </row>
    <row r="763">
      <c r="A763" s="22"/>
      <c r="B763" s="22"/>
      <c r="C763" s="22"/>
      <c r="D763" s="22"/>
      <c r="E763" s="22"/>
      <c r="F763" s="23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3"/>
      <c r="AF763" s="24"/>
      <c r="AG763" s="24"/>
      <c r="AH763" s="24"/>
      <c r="AI763" s="24"/>
      <c r="AJ763" s="22"/>
      <c r="AK763" s="22"/>
    </row>
    <row r="764">
      <c r="A764" s="22"/>
      <c r="B764" s="22"/>
      <c r="C764" s="22"/>
      <c r="D764" s="22"/>
      <c r="E764" s="22"/>
      <c r="F764" s="23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3"/>
      <c r="AF764" s="24"/>
      <c r="AG764" s="24"/>
      <c r="AH764" s="24"/>
      <c r="AI764" s="24"/>
      <c r="AJ764" s="22"/>
      <c r="AK764" s="22"/>
    </row>
    <row r="765">
      <c r="A765" s="22"/>
      <c r="B765" s="22"/>
      <c r="C765" s="22"/>
      <c r="D765" s="22"/>
      <c r="E765" s="22"/>
      <c r="F765" s="23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3"/>
      <c r="AF765" s="24"/>
      <c r="AG765" s="24"/>
      <c r="AH765" s="24"/>
      <c r="AI765" s="24"/>
      <c r="AJ765" s="22"/>
      <c r="AK765" s="22"/>
    </row>
    <row r="766">
      <c r="A766" s="22"/>
      <c r="B766" s="22"/>
      <c r="C766" s="22"/>
      <c r="D766" s="22"/>
      <c r="E766" s="22"/>
      <c r="F766" s="23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3"/>
      <c r="AF766" s="24"/>
      <c r="AG766" s="24"/>
      <c r="AH766" s="24"/>
      <c r="AI766" s="24"/>
      <c r="AJ766" s="22"/>
      <c r="AK766" s="22"/>
    </row>
    <row r="767">
      <c r="A767" s="22"/>
      <c r="B767" s="22"/>
      <c r="C767" s="22"/>
      <c r="D767" s="22"/>
      <c r="E767" s="22"/>
      <c r="F767" s="23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3"/>
      <c r="AF767" s="24"/>
      <c r="AG767" s="24"/>
      <c r="AH767" s="24"/>
      <c r="AI767" s="24"/>
      <c r="AJ767" s="22"/>
      <c r="AK767" s="22"/>
    </row>
    <row r="768">
      <c r="A768" s="22"/>
      <c r="B768" s="22"/>
      <c r="C768" s="22"/>
      <c r="D768" s="22"/>
      <c r="E768" s="22"/>
      <c r="F768" s="23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3"/>
      <c r="AF768" s="24"/>
      <c r="AG768" s="24"/>
      <c r="AH768" s="24"/>
      <c r="AI768" s="24"/>
      <c r="AJ768" s="22"/>
      <c r="AK768" s="22"/>
    </row>
    <row r="769">
      <c r="A769" s="22"/>
      <c r="B769" s="22"/>
      <c r="C769" s="22"/>
      <c r="D769" s="22"/>
      <c r="E769" s="22"/>
      <c r="F769" s="23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3"/>
      <c r="AF769" s="24"/>
      <c r="AG769" s="24"/>
      <c r="AH769" s="24"/>
      <c r="AI769" s="24"/>
      <c r="AJ769" s="22"/>
      <c r="AK769" s="22"/>
    </row>
    <row r="770">
      <c r="A770" s="22"/>
      <c r="B770" s="22"/>
      <c r="C770" s="22"/>
      <c r="D770" s="22"/>
      <c r="E770" s="22"/>
      <c r="F770" s="23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3"/>
      <c r="AF770" s="24"/>
      <c r="AG770" s="24"/>
      <c r="AH770" s="24"/>
      <c r="AI770" s="24"/>
      <c r="AJ770" s="22"/>
      <c r="AK770" s="22"/>
    </row>
    <row r="771">
      <c r="A771" s="22"/>
      <c r="B771" s="22"/>
      <c r="C771" s="22"/>
      <c r="D771" s="22"/>
      <c r="E771" s="22"/>
      <c r="F771" s="23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3"/>
      <c r="AF771" s="24"/>
      <c r="AG771" s="24"/>
      <c r="AH771" s="24"/>
      <c r="AI771" s="24"/>
      <c r="AJ771" s="22"/>
      <c r="AK771" s="22"/>
    </row>
    <row r="772">
      <c r="A772" s="22"/>
      <c r="B772" s="22"/>
      <c r="C772" s="22"/>
      <c r="D772" s="22"/>
      <c r="E772" s="22"/>
      <c r="F772" s="23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3"/>
      <c r="AF772" s="24"/>
      <c r="AG772" s="24"/>
      <c r="AH772" s="24"/>
      <c r="AI772" s="24"/>
      <c r="AJ772" s="22"/>
      <c r="AK772" s="22"/>
    </row>
    <row r="773">
      <c r="A773" s="22"/>
      <c r="B773" s="22"/>
      <c r="C773" s="22"/>
      <c r="D773" s="22"/>
      <c r="E773" s="22"/>
      <c r="F773" s="23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3"/>
      <c r="AF773" s="24"/>
      <c r="AG773" s="24"/>
      <c r="AH773" s="24"/>
      <c r="AI773" s="24"/>
      <c r="AJ773" s="22"/>
      <c r="AK773" s="22"/>
    </row>
    <row r="774">
      <c r="A774" s="22"/>
      <c r="B774" s="22"/>
      <c r="C774" s="22"/>
      <c r="D774" s="22"/>
      <c r="E774" s="22"/>
      <c r="F774" s="23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3"/>
      <c r="AF774" s="24"/>
      <c r="AG774" s="24"/>
      <c r="AH774" s="24"/>
      <c r="AI774" s="24"/>
      <c r="AJ774" s="22"/>
      <c r="AK774" s="22"/>
    </row>
    <row r="775">
      <c r="A775" s="22"/>
      <c r="B775" s="22"/>
      <c r="C775" s="22"/>
      <c r="D775" s="22"/>
      <c r="E775" s="22"/>
      <c r="F775" s="23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3"/>
      <c r="AF775" s="24"/>
      <c r="AG775" s="24"/>
      <c r="AH775" s="24"/>
      <c r="AI775" s="24"/>
      <c r="AJ775" s="22"/>
      <c r="AK775" s="22"/>
    </row>
    <row r="776">
      <c r="A776" s="22"/>
      <c r="B776" s="22"/>
      <c r="C776" s="22"/>
      <c r="D776" s="22"/>
      <c r="E776" s="22"/>
      <c r="F776" s="23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3"/>
      <c r="AF776" s="24"/>
      <c r="AG776" s="24"/>
      <c r="AH776" s="24"/>
      <c r="AI776" s="24"/>
      <c r="AJ776" s="22"/>
      <c r="AK776" s="22"/>
    </row>
    <row r="777">
      <c r="A777" s="22"/>
      <c r="B777" s="22"/>
      <c r="C777" s="22"/>
      <c r="D777" s="22"/>
      <c r="E777" s="22"/>
      <c r="F777" s="23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3"/>
      <c r="AF777" s="24"/>
      <c r="AG777" s="24"/>
      <c r="AH777" s="24"/>
      <c r="AI777" s="24"/>
      <c r="AJ777" s="22"/>
      <c r="AK777" s="22"/>
    </row>
    <row r="778">
      <c r="A778" s="22"/>
      <c r="B778" s="22"/>
      <c r="C778" s="22"/>
      <c r="D778" s="22"/>
      <c r="E778" s="22"/>
      <c r="F778" s="23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3"/>
      <c r="AF778" s="24"/>
      <c r="AG778" s="24"/>
      <c r="AH778" s="24"/>
      <c r="AI778" s="24"/>
      <c r="AJ778" s="22"/>
      <c r="AK778" s="22"/>
    </row>
    <row r="779">
      <c r="A779" s="22"/>
      <c r="B779" s="22"/>
      <c r="C779" s="22"/>
      <c r="D779" s="22"/>
      <c r="E779" s="22"/>
      <c r="F779" s="23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3"/>
      <c r="AF779" s="24"/>
      <c r="AG779" s="24"/>
      <c r="AH779" s="24"/>
      <c r="AI779" s="24"/>
      <c r="AJ779" s="22"/>
      <c r="AK779" s="22"/>
    </row>
    <row r="780">
      <c r="A780" s="22"/>
      <c r="B780" s="22"/>
      <c r="C780" s="22"/>
      <c r="D780" s="22"/>
      <c r="E780" s="22"/>
      <c r="F780" s="23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3"/>
      <c r="AF780" s="24"/>
      <c r="AG780" s="24"/>
      <c r="AH780" s="24"/>
      <c r="AI780" s="24"/>
      <c r="AJ780" s="22"/>
      <c r="AK780" s="22"/>
    </row>
    <row r="781">
      <c r="A781" s="22"/>
      <c r="B781" s="22"/>
      <c r="C781" s="22"/>
      <c r="D781" s="22"/>
      <c r="E781" s="22"/>
      <c r="F781" s="23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3"/>
      <c r="AF781" s="24"/>
      <c r="AG781" s="24"/>
      <c r="AH781" s="24"/>
      <c r="AI781" s="24"/>
      <c r="AJ781" s="22"/>
      <c r="AK781" s="22"/>
    </row>
    <row r="782">
      <c r="A782" s="22"/>
      <c r="B782" s="22"/>
      <c r="C782" s="22"/>
      <c r="D782" s="22"/>
      <c r="E782" s="22"/>
      <c r="F782" s="23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3"/>
      <c r="AF782" s="24"/>
      <c r="AG782" s="24"/>
      <c r="AH782" s="24"/>
      <c r="AI782" s="24"/>
      <c r="AJ782" s="22"/>
      <c r="AK782" s="22"/>
    </row>
    <row r="783">
      <c r="A783" s="22"/>
      <c r="B783" s="22"/>
      <c r="C783" s="22"/>
      <c r="D783" s="22"/>
      <c r="E783" s="22"/>
      <c r="F783" s="23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3"/>
      <c r="AF783" s="24"/>
      <c r="AG783" s="24"/>
      <c r="AH783" s="24"/>
      <c r="AI783" s="24"/>
      <c r="AJ783" s="22"/>
      <c r="AK783" s="22"/>
    </row>
    <row r="784">
      <c r="A784" s="22"/>
      <c r="B784" s="22"/>
      <c r="C784" s="22"/>
      <c r="D784" s="22"/>
      <c r="E784" s="22"/>
      <c r="F784" s="23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3"/>
      <c r="AF784" s="24"/>
      <c r="AG784" s="24"/>
      <c r="AH784" s="24"/>
      <c r="AI784" s="24"/>
      <c r="AJ784" s="22"/>
      <c r="AK784" s="22"/>
    </row>
    <row r="785">
      <c r="A785" s="22"/>
      <c r="B785" s="22"/>
      <c r="C785" s="22"/>
      <c r="D785" s="22"/>
      <c r="E785" s="22"/>
      <c r="F785" s="23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3"/>
      <c r="AF785" s="24"/>
      <c r="AG785" s="24"/>
      <c r="AH785" s="24"/>
      <c r="AI785" s="24"/>
      <c r="AJ785" s="22"/>
      <c r="AK785" s="22"/>
    </row>
    <row r="786">
      <c r="A786" s="22"/>
      <c r="B786" s="22"/>
      <c r="C786" s="22"/>
      <c r="D786" s="22"/>
      <c r="E786" s="22"/>
      <c r="F786" s="23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3"/>
      <c r="AF786" s="24"/>
      <c r="AG786" s="24"/>
      <c r="AH786" s="24"/>
      <c r="AI786" s="24"/>
      <c r="AJ786" s="22"/>
      <c r="AK786" s="22"/>
    </row>
    <row r="787">
      <c r="A787" s="22"/>
      <c r="B787" s="22"/>
      <c r="C787" s="22"/>
      <c r="D787" s="22"/>
      <c r="E787" s="22"/>
      <c r="F787" s="23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3"/>
      <c r="AF787" s="24"/>
      <c r="AG787" s="24"/>
      <c r="AH787" s="24"/>
      <c r="AI787" s="24"/>
      <c r="AJ787" s="22"/>
      <c r="AK787" s="22"/>
    </row>
    <row r="788">
      <c r="A788" s="22"/>
      <c r="B788" s="22"/>
      <c r="C788" s="22"/>
      <c r="D788" s="22"/>
      <c r="E788" s="22"/>
      <c r="F788" s="23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3"/>
      <c r="AF788" s="24"/>
      <c r="AG788" s="24"/>
      <c r="AH788" s="24"/>
      <c r="AI788" s="24"/>
      <c r="AJ788" s="22"/>
      <c r="AK788" s="22"/>
    </row>
    <row r="789">
      <c r="A789" s="22"/>
      <c r="B789" s="22"/>
      <c r="C789" s="22"/>
      <c r="D789" s="22"/>
      <c r="E789" s="22"/>
      <c r="F789" s="23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3"/>
      <c r="AF789" s="24"/>
      <c r="AG789" s="24"/>
      <c r="AH789" s="24"/>
      <c r="AI789" s="24"/>
      <c r="AJ789" s="22"/>
      <c r="AK789" s="22"/>
    </row>
    <row r="790">
      <c r="A790" s="22"/>
      <c r="B790" s="22"/>
      <c r="C790" s="22"/>
      <c r="D790" s="22"/>
      <c r="E790" s="22"/>
      <c r="F790" s="23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3"/>
      <c r="AF790" s="24"/>
      <c r="AG790" s="24"/>
      <c r="AH790" s="24"/>
      <c r="AI790" s="24"/>
      <c r="AJ790" s="22"/>
      <c r="AK790" s="22"/>
    </row>
    <row r="791">
      <c r="A791" s="22"/>
      <c r="B791" s="22"/>
      <c r="C791" s="22"/>
      <c r="D791" s="22"/>
      <c r="E791" s="22"/>
      <c r="F791" s="23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3"/>
      <c r="AF791" s="24"/>
      <c r="AG791" s="24"/>
      <c r="AH791" s="24"/>
      <c r="AI791" s="24"/>
      <c r="AJ791" s="22"/>
      <c r="AK791" s="22"/>
    </row>
    <row r="792">
      <c r="A792" s="22"/>
      <c r="B792" s="22"/>
      <c r="C792" s="22"/>
      <c r="D792" s="22"/>
      <c r="E792" s="22"/>
      <c r="F792" s="23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3"/>
      <c r="AF792" s="24"/>
      <c r="AG792" s="24"/>
      <c r="AH792" s="24"/>
      <c r="AI792" s="24"/>
      <c r="AJ792" s="22"/>
      <c r="AK792" s="22"/>
    </row>
    <row r="793">
      <c r="A793" s="22"/>
      <c r="B793" s="22"/>
      <c r="C793" s="22"/>
      <c r="D793" s="22"/>
      <c r="E793" s="22"/>
      <c r="F793" s="23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3"/>
      <c r="AF793" s="24"/>
      <c r="AG793" s="24"/>
      <c r="AH793" s="24"/>
      <c r="AI793" s="24"/>
      <c r="AJ793" s="22"/>
      <c r="AK793" s="22"/>
    </row>
    <row r="794">
      <c r="A794" s="22"/>
      <c r="B794" s="22"/>
      <c r="C794" s="22"/>
      <c r="D794" s="22"/>
      <c r="E794" s="22"/>
      <c r="F794" s="23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3"/>
      <c r="AF794" s="24"/>
      <c r="AG794" s="24"/>
      <c r="AH794" s="24"/>
      <c r="AI794" s="24"/>
      <c r="AJ794" s="22"/>
      <c r="AK794" s="22"/>
    </row>
    <row r="795">
      <c r="A795" s="22"/>
      <c r="B795" s="22"/>
      <c r="C795" s="22"/>
      <c r="D795" s="22"/>
      <c r="E795" s="22"/>
      <c r="F795" s="23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3"/>
      <c r="AF795" s="24"/>
      <c r="AG795" s="24"/>
      <c r="AH795" s="24"/>
      <c r="AI795" s="24"/>
      <c r="AJ795" s="22"/>
      <c r="AK795" s="22"/>
    </row>
    <row r="796">
      <c r="A796" s="22"/>
      <c r="B796" s="22"/>
      <c r="C796" s="22"/>
      <c r="D796" s="22"/>
      <c r="E796" s="22"/>
      <c r="F796" s="23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3"/>
      <c r="AF796" s="24"/>
      <c r="AG796" s="24"/>
      <c r="AH796" s="24"/>
      <c r="AI796" s="24"/>
      <c r="AJ796" s="22"/>
      <c r="AK796" s="22"/>
    </row>
    <row r="797">
      <c r="A797" s="22"/>
      <c r="B797" s="22"/>
      <c r="C797" s="22"/>
      <c r="D797" s="22"/>
      <c r="E797" s="22"/>
      <c r="F797" s="23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3"/>
      <c r="AF797" s="24"/>
      <c r="AG797" s="24"/>
      <c r="AH797" s="24"/>
      <c r="AI797" s="24"/>
      <c r="AJ797" s="22"/>
      <c r="AK797" s="22"/>
    </row>
    <row r="798">
      <c r="A798" s="22"/>
      <c r="B798" s="22"/>
      <c r="C798" s="22"/>
      <c r="D798" s="22"/>
      <c r="E798" s="22"/>
      <c r="F798" s="23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3"/>
      <c r="AF798" s="24"/>
      <c r="AG798" s="24"/>
      <c r="AH798" s="24"/>
      <c r="AI798" s="24"/>
      <c r="AJ798" s="22"/>
      <c r="AK798" s="22"/>
    </row>
    <row r="799">
      <c r="A799" s="22"/>
      <c r="B799" s="22"/>
      <c r="C799" s="22"/>
      <c r="D799" s="22"/>
      <c r="E799" s="22"/>
      <c r="F799" s="23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3"/>
      <c r="AF799" s="24"/>
      <c r="AG799" s="24"/>
      <c r="AH799" s="24"/>
      <c r="AI799" s="24"/>
      <c r="AJ799" s="22"/>
      <c r="AK799" s="22"/>
    </row>
    <row r="800">
      <c r="A800" s="22"/>
      <c r="B800" s="22"/>
      <c r="C800" s="22"/>
      <c r="D800" s="22"/>
      <c r="E800" s="22"/>
      <c r="F800" s="23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3"/>
      <c r="AF800" s="24"/>
      <c r="AG800" s="24"/>
      <c r="AH800" s="24"/>
      <c r="AI800" s="24"/>
      <c r="AJ800" s="22"/>
      <c r="AK800" s="22"/>
    </row>
    <row r="801">
      <c r="A801" s="22"/>
      <c r="B801" s="22"/>
      <c r="C801" s="22"/>
      <c r="D801" s="22"/>
      <c r="E801" s="22"/>
      <c r="F801" s="23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3"/>
      <c r="AF801" s="24"/>
      <c r="AG801" s="24"/>
      <c r="AH801" s="24"/>
      <c r="AI801" s="24"/>
      <c r="AJ801" s="22"/>
      <c r="AK801" s="22"/>
    </row>
    <row r="802">
      <c r="A802" s="22"/>
      <c r="B802" s="22"/>
      <c r="C802" s="22"/>
      <c r="D802" s="22"/>
      <c r="E802" s="22"/>
      <c r="F802" s="23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3"/>
      <c r="AF802" s="24"/>
      <c r="AG802" s="24"/>
      <c r="AH802" s="24"/>
      <c r="AI802" s="24"/>
      <c r="AJ802" s="22"/>
      <c r="AK802" s="22"/>
    </row>
    <row r="803">
      <c r="A803" s="22"/>
      <c r="B803" s="22"/>
      <c r="C803" s="22"/>
      <c r="D803" s="22"/>
      <c r="E803" s="22"/>
      <c r="F803" s="23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3"/>
      <c r="AF803" s="24"/>
      <c r="AG803" s="24"/>
      <c r="AH803" s="24"/>
      <c r="AI803" s="24"/>
      <c r="AJ803" s="22"/>
      <c r="AK803" s="22"/>
    </row>
    <row r="804">
      <c r="A804" s="22"/>
      <c r="B804" s="22"/>
      <c r="C804" s="22"/>
      <c r="D804" s="22"/>
      <c r="E804" s="22"/>
      <c r="F804" s="23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3"/>
      <c r="AF804" s="24"/>
      <c r="AG804" s="24"/>
      <c r="AH804" s="24"/>
      <c r="AI804" s="24"/>
      <c r="AJ804" s="22"/>
      <c r="AK804" s="22"/>
    </row>
    <row r="805">
      <c r="A805" s="22"/>
      <c r="B805" s="22"/>
      <c r="C805" s="22"/>
      <c r="D805" s="22"/>
      <c r="E805" s="22"/>
      <c r="F805" s="23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3"/>
      <c r="AF805" s="24"/>
      <c r="AG805" s="24"/>
      <c r="AH805" s="24"/>
      <c r="AI805" s="24"/>
      <c r="AJ805" s="22"/>
      <c r="AK805" s="22"/>
    </row>
    <row r="806">
      <c r="A806" s="22"/>
      <c r="B806" s="22"/>
      <c r="C806" s="22"/>
      <c r="D806" s="22"/>
      <c r="E806" s="22"/>
      <c r="F806" s="23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3"/>
      <c r="AF806" s="24"/>
      <c r="AG806" s="24"/>
      <c r="AH806" s="24"/>
      <c r="AI806" s="24"/>
      <c r="AJ806" s="22"/>
      <c r="AK806" s="22"/>
    </row>
    <row r="807">
      <c r="A807" s="22"/>
      <c r="B807" s="22"/>
      <c r="C807" s="22"/>
      <c r="D807" s="22"/>
      <c r="E807" s="22"/>
      <c r="F807" s="23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3"/>
      <c r="AF807" s="24"/>
      <c r="AG807" s="24"/>
      <c r="AH807" s="24"/>
      <c r="AI807" s="24"/>
      <c r="AJ807" s="22"/>
      <c r="AK807" s="22"/>
    </row>
    <row r="808">
      <c r="A808" s="22"/>
      <c r="B808" s="22"/>
      <c r="C808" s="22"/>
      <c r="D808" s="22"/>
      <c r="E808" s="22"/>
      <c r="F808" s="23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3"/>
      <c r="AF808" s="24"/>
      <c r="AG808" s="24"/>
      <c r="AH808" s="24"/>
      <c r="AI808" s="24"/>
      <c r="AJ808" s="22"/>
      <c r="AK808" s="22"/>
    </row>
    <row r="809">
      <c r="A809" s="22"/>
      <c r="B809" s="22"/>
      <c r="C809" s="22"/>
      <c r="D809" s="22"/>
      <c r="E809" s="22"/>
      <c r="F809" s="23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3"/>
      <c r="AF809" s="24"/>
      <c r="AG809" s="24"/>
      <c r="AH809" s="24"/>
      <c r="AI809" s="24"/>
      <c r="AJ809" s="22"/>
      <c r="AK809" s="22"/>
    </row>
    <row r="810">
      <c r="A810" s="22"/>
      <c r="B810" s="22"/>
      <c r="C810" s="22"/>
      <c r="D810" s="22"/>
      <c r="E810" s="22"/>
      <c r="F810" s="23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3"/>
      <c r="AF810" s="24"/>
      <c r="AG810" s="24"/>
      <c r="AH810" s="24"/>
      <c r="AI810" s="24"/>
      <c r="AJ810" s="22"/>
      <c r="AK810" s="22"/>
    </row>
    <row r="811">
      <c r="A811" s="22"/>
      <c r="B811" s="22"/>
      <c r="C811" s="22"/>
      <c r="D811" s="22"/>
      <c r="E811" s="22"/>
      <c r="F811" s="23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3"/>
      <c r="AF811" s="24"/>
      <c r="AG811" s="24"/>
      <c r="AH811" s="24"/>
      <c r="AI811" s="24"/>
      <c r="AJ811" s="22"/>
      <c r="AK811" s="22"/>
    </row>
    <row r="812">
      <c r="A812" s="22"/>
      <c r="B812" s="22"/>
      <c r="C812" s="22"/>
      <c r="D812" s="22"/>
      <c r="E812" s="22"/>
      <c r="F812" s="23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3"/>
      <c r="AF812" s="24"/>
      <c r="AG812" s="24"/>
      <c r="AH812" s="24"/>
      <c r="AI812" s="24"/>
      <c r="AJ812" s="22"/>
      <c r="AK812" s="22"/>
    </row>
    <row r="813">
      <c r="A813" s="22"/>
      <c r="B813" s="22"/>
      <c r="C813" s="22"/>
      <c r="D813" s="22"/>
      <c r="E813" s="22"/>
      <c r="F813" s="23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3"/>
      <c r="AF813" s="24"/>
      <c r="AG813" s="24"/>
      <c r="AH813" s="24"/>
      <c r="AI813" s="24"/>
      <c r="AJ813" s="22"/>
      <c r="AK813" s="22"/>
    </row>
    <row r="814">
      <c r="A814" s="22"/>
      <c r="B814" s="22"/>
      <c r="C814" s="22"/>
      <c r="D814" s="22"/>
      <c r="E814" s="22"/>
      <c r="F814" s="23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3"/>
      <c r="AF814" s="24"/>
      <c r="AG814" s="24"/>
      <c r="AH814" s="24"/>
      <c r="AI814" s="24"/>
      <c r="AJ814" s="22"/>
      <c r="AK814" s="22"/>
    </row>
    <row r="815">
      <c r="A815" s="22"/>
      <c r="B815" s="22"/>
      <c r="C815" s="22"/>
      <c r="D815" s="22"/>
      <c r="E815" s="22"/>
      <c r="F815" s="23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3"/>
      <c r="AF815" s="24"/>
      <c r="AG815" s="24"/>
      <c r="AH815" s="24"/>
      <c r="AI815" s="24"/>
      <c r="AJ815" s="22"/>
      <c r="AK815" s="22"/>
    </row>
    <row r="816">
      <c r="A816" s="22"/>
      <c r="B816" s="22"/>
      <c r="C816" s="22"/>
      <c r="D816" s="22"/>
      <c r="E816" s="22"/>
      <c r="F816" s="23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3"/>
      <c r="AF816" s="24"/>
      <c r="AG816" s="24"/>
      <c r="AH816" s="24"/>
      <c r="AI816" s="24"/>
      <c r="AJ816" s="22"/>
      <c r="AK816" s="22"/>
    </row>
    <row r="817">
      <c r="A817" s="22"/>
      <c r="B817" s="22"/>
      <c r="C817" s="22"/>
      <c r="D817" s="22"/>
      <c r="E817" s="22"/>
      <c r="F817" s="23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3"/>
      <c r="AF817" s="24"/>
      <c r="AG817" s="24"/>
      <c r="AH817" s="24"/>
      <c r="AI817" s="24"/>
      <c r="AJ817" s="22"/>
      <c r="AK817" s="22"/>
    </row>
    <row r="818">
      <c r="A818" s="22"/>
      <c r="B818" s="22"/>
      <c r="C818" s="22"/>
      <c r="D818" s="22"/>
      <c r="E818" s="22"/>
      <c r="F818" s="23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3"/>
      <c r="AF818" s="24"/>
      <c r="AG818" s="24"/>
      <c r="AH818" s="24"/>
      <c r="AI818" s="24"/>
      <c r="AJ818" s="22"/>
      <c r="AK818" s="22"/>
    </row>
    <row r="819">
      <c r="A819" s="22"/>
      <c r="B819" s="22"/>
      <c r="C819" s="22"/>
      <c r="D819" s="22"/>
      <c r="E819" s="22"/>
      <c r="F819" s="23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3"/>
      <c r="AF819" s="24"/>
      <c r="AG819" s="24"/>
      <c r="AH819" s="24"/>
      <c r="AI819" s="24"/>
      <c r="AJ819" s="22"/>
      <c r="AK819" s="22"/>
    </row>
    <row r="820">
      <c r="A820" s="22"/>
      <c r="B820" s="22"/>
      <c r="C820" s="22"/>
      <c r="D820" s="22"/>
      <c r="E820" s="22"/>
      <c r="F820" s="23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3"/>
      <c r="AF820" s="24"/>
      <c r="AG820" s="24"/>
      <c r="AH820" s="24"/>
      <c r="AI820" s="24"/>
      <c r="AJ820" s="22"/>
      <c r="AK820" s="22"/>
    </row>
    <row r="821">
      <c r="A821" s="22"/>
      <c r="B821" s="22"/>
      <c r="C821" s="22"/>
      <c r="D821" s="22"/>
      <c r="E821" s="22"/>
      <c r="F821" s="23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3"/>
      <c r="AF821" s="24"/>
      <c r="AG821" s="24"/>
      <c r="AH821" s="24"/>
      <c r="AI821" s="24"/>
      <c r="AJ821" s="22"/>
      <c r="AK821" s="22"/>
    </row>
    <row r="822">
      <c r="A822" s="22"/>
      <c r="B822" s="22"/>
      <c r="C822" s="22"/>
      <c r="D822" s="22"/>
      <c r="E822" s="22"/>
      <c r="F822" s="23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3"/>
      <c r="AF822" s="24"/>
      <c r="AG822" s="24"/>
      <c r="AH822" s="24"/>
      <c r="AI822" s="24"/>
      <c r="AJ822" s="22"/>
      <c r="AK822" s="22"/>
    </row>
    <row r="823">
      <c r="A823" s="22"/>
      <c r="B823" s="22"/>
      <c r="C823" s="22"/>
      <c r="D823" s="22"/>
      <c r="E823" s="22"/>
      <c r="F823" s="23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3"/>
      <c r="AF823" s="24"/>
      <c r="AG823" s="24"/>
      <c r="AH823" s="24"/>
      <c r="AI823" s="24"/>
      <c r="AJ823" s="22"/>
      <c r="AK823" s="22"/>
    </row>
    <row r="824">
      <c r="A824" s="22"/>
      <c r="B824" s="22"/>
      <c r="C824" s="22"/>
      <c r="D824" s="22"/>
      <c r="E824" s="22"/>
      <c r="F824" s="23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3"/>
      <c r="AF824" s="24"/>
      <c r="AG824" s="24"/>
      <c r="AH824" s="24"/>
      <c r="AI824" s="24"/>
      <c r="AJ824" s="22"/>
      <c r="AK824" s="22"/>
    </row>
    <row r="825">
      <c r="A825" s="22"/>
      <c r="B825" s="22"/>
      <c r="C825" s="22"/>
      <c r="D825" s="22"/>
      <c r="E825" s="22"/>
      <c r="F825" s="23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3"/>
      <c r="AF825" s="24"/>
      <c r="AG825" s="24"/>
      <c r="AH825" s="24"/>
      <c r="AI825" s="24"/>
      <c r="AJ825" s="22"/>
      <c r="AK825" s="22"/>
    </row>
    <row r="826">
      <c r="A826" s="22"/>
      <c r="B826" s="22"/>
      <c r="C826" s="22"/>
      <c r="D826" s="22"/>
      <c r="E826" s="22"/>
      <c r="F826" s="23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3"/>
      <c r="AF826" s="24"/>
      <c r="AG826" s="24"/>
      <c r="AH826" s="24"/>
      <c r="AI826" s="24"/>
      <c r="AJ826" s="22"/>
      <c r="AK826" s="22"/>
    </row>
    <row r="827">
      <c r="A827" s="22"/>
      <c r="B827" s="22"/>
      <c r="C827" s="22"/>
      <c r="D827" s="22"/>
      <c r="E827" s="22"/>
      <c r="F827" s="23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3"/>
      <c r="AF827" s="24"/>
      <c r="AG827" s="24"/>
      <c r="AH827" s="24"/>
      <c r="AI827" s="24"/>
      <c r="AJ827" s="22"/>
      <c r="AK827" s="22"/>
    </row>
    <row r="828">
      <c r="A828" s="22"/>
      <c r="B828" s="22"/>
      <c r="C828" s="22"/>
      <c r="D828" s="22"/>
      <c r="E828" s="22"/>
      <c r="F828" s="23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3"/>
      <c r="AF828" s="24"/>
      <c r="AG828" s="24"/>
      <c r="AH828" s="24"/>
      <c r="AI828" s="24"/>
      <c r="AJ828" s="22"/>
      <c r="AK828" s="22"/>
    </row>
    <row r="829">
      <c r="A829" s="22"/>
      <c r="B829" s="22"/>
      <c r="C829" s="22"/>
      <c r="D829" s="22"/>
      <c r="E829" s="22"/>
      <c r="F829" s="23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3"/>
      <c r="AF829" s="24"/>
      <c r="AG829" s="24"/>
      <c r="AH829" s="24"/>
      <c r="AI829" s="24"/>
      <c r="AJ829" s="22"/>
      <c r="AK829" s="22"/>
    </row>
    <row r="830">
      <c r="A830" s="22"/>
      <c r="B830" s="22"/>
      <c r="C830" s="22"/>
      <c r="D830" s="22"/>
      <c r="E830" s="22"/>
      <c r="F830" s="23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3"/>
      <c r="AF830" s="24"/>
      <c r="AG830" s="24"/>
      <c r="AH830" s="24"/>
      <c r="AI830" s="24"/>
      <c r="AJ830" s="22"/>
      <c r="AK830" s="22"/>
    </row>
    <row r="831">
      <c r="A831" s="22"/>
      <c r="B831" s="22"/>
      <c r="C831" s="22"/>
      <c r="D831" s="22"/>
      <c r="E831" s="22"/>
      <c r="F831" s="23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3"/>
      <c r="AF831" s="24"/>
      <c r="AG831" s="24"/>
      <c r="AH831" s="24"/>
      <c r="AI831" s="24"/>
      <c r="AJ831" s="22"/>
      <c r="AK831" s="22"/>
    </row>
    <row r="832">
      <c r="A832" s="22"/>
      <c r="B832" s="22"/>
      <c r="C832" s="22"/>
      <c r="D832" s="22"/>
      <c r="E832" s="22"/>
      <c r="F832" s="23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3"/>
      <c r="AF832" s="24"/>
      <c r="AG832" s="24"/>
      <c r="AH832" s="24"/>
      <c r="AI832" s="24"/>
      <c r="AJ832" s="22"/>
      <c r="AK832" s="22"/>
    </row>
    <row r="833">
      <c r="A833" s="22"/>
      <c r="B833" s="22"/>
      <c r="C833" s="22"/>
      <c r="D833" s="22"/>
      <c r="E833" s="22"/>
      <c r="F833" s="23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3"/>
      <c r="AF833" s="24"/>
      <c r="AG833" s="24"/>
      <c r="AH833" s="24"/>
      <c r="AI833" s="24"/>
      <c r="AJ833" s="22"/>
      <c r="AK833" s="22"/>
    </row>
    <row r="834">
      <c r="A834" s="22"/>
      <c r="B834" s="22"/>
      <c r="C834" s="22"/>
      <c r="D834" s="22"/>
      <c r="E834" s="22"/>
      <c r="F834" s="23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3"/>
      <c r="AF834" s="24"/>
      <c r="AG834" s="24"/>
      <c r="AH834" s="24"/>
      <c r="AI834" s="24"/>
      <c r="AJ834" s="22"/>
      <c r="AK834" s="22"/>
    </row>
    <row r="835">
      <c r="A835" s="22"/>
      <c r="B835" s="22"/>
      <c r="C835" s="22"/>
      <c r="D835" s="22"/>
      <c r="E835" s="22"/>
      <c r="F835" s="23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3"/>
      <c r="AF835" s="24"/>
      <c r="AG835" s="24"/>
      <c r="AH835" s="24"/>
      <c r="AI835" s="24"/>
      <c r="AJ835" s="22"/>
      <c r="AK835" s="22"/>
    </row>
    <row r="836">
      <c r="A836" s="22"/>
      <c r="B836" s="22"/>
      <c r="C836" s="22"/>
      <c r="D836" s="22"/>
      <c r="E836" s="22"/>
      <c r="F836" s="23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3"/>
      <c r="AF836" s="24"/>
      <c r="AG836" s="24"/>
      <c r="AH836" s="24"/>
      <c r="AI836" s="24"/>
      <c r="AJ836" s="22"/>
      <c r="AK836" s="22"/>
    </row>
    <row r="837">
      <c r="A837" s="22"/>
      <c r="B837" s="22"/>
      <c r="C837" s="22"/>
      <c r="D837" s="22"/>
      <c r="E837" s="22"/>
      <c r="F837" s="23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3"/>
      <c r="AF837" s="24"/>
      <c r="AG837" s="24"/>
      <c r="AH837" s="24"/>
      <c r="AI837" s="24"/>
      <c r="AJ837" s="22"/>
      <c r="AK837" s="22"/>
    </row>
    <row r="838">
      <c r="A838" s="22"/>
      <c r="B838" s="22"/>
      <c r="C838" s="22"/>
      <c r="D838" s="22"/>
      <c r="E838" s="22"/>
      <c r="F838" s="23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3"/>
      <c r="AF838" s="24"/>
      <c r="AG838" s="24"/>
      <c r="AH838" s="24"/>
      <c r="AI838" s="24"/>
      <c r="AJ838" s="22"/>
      <c r="AK838" s="22"/>
    </row>
    <row r="839">
      <c r="A839" s="22"/>
      <c r="B839" s="22"/>
      <c r="C839" s="22"/>
      <c r="D839" s="22"/>
      <c r="E839" s="22"/>
      <c r="F839" s="23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3"/>
      <c r="AF839" s="24"/>
      <c r="AG839" s="24"/>
      <c r="AH839" s="24"/>
      <c r="AI839" s="24"/>
      <c r="AJ839" s="22"/>
      <c r="AK839" s="22"/>
    </row>
    <row r="840">
      <c r="A840" s="22"/>
      <c r="B840" s="22"/>
      <c r="C840" s="22"/>
      <c r="D840" s="22"/>
      <c r="E840" s="22"/>
      <c r="F840" s="23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3"/>
      <c r="AF840" s="24"/>
      <c r="AG840" s="24"/>
      <c r="AH840" s="24"/>
      <c r="AI840" s="24"/>
      <c r="AJ840" s="22"/>
      <c r="AK840" s="22"/>
    </row>
    <row r="841">
      <c r="A841" s="22"/>
      <c r="B841" s="22"/>
      <c r="C841" s="22"/>
      <c r="D841" s="22"/>
      <c r="E841" s="22"/>
      <c r="F841" s="23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3"/>
      <c r="AF841" s="24"/>
      <c r="AG841" s="24"/>
      <c r="AH841" s="24"/>
      <c r="AI841" s="24"/>
      <c r="AJ841" s="22"/>
      <c r="AK841" s="22"/>
    </row>
    <row r="842">
      <c r="A842" s="22"/>
      <c r="B842" s="22"/>
      <c r="C842" s="22"/>
      <c r="D842" s="22"/>
      <c r="E842" s="22"/>
      <c r="F842" s="23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3"/>
      <c r="AF842" s="24"/>
      <c r="AG842" s="24"/>
      <c r="AH842" s="24"/>
      <c r="AI842" s="24"/>
      <c r="AJ842" s="22"/>
      <c r="AK842" s="22"/>
    </row>
    <row r="843">
      <c r="A843" s="22"/>
      <c r="B843" s="22"/>
      <c r="C843" s="22"/>
      <c r="D843" s="22"/>
      <c r="E843" s="22"/>
      <c r="F843" s="23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3"/>
      <c r="AF843" s="24"/>
      <c r="AG843" s="24"/>
      <c r="AH843" s="24"/>
      <c r="AI843" s="24"/>
      <c r="AJ843" s="22"/>
      <c r="AK843" s="22"/>
    </row>
    <row r="844">
      <c r="A844" s="22"/>
      <c r="B844" s="22"/>
      <c r="C844" s="22"/>
      <c r="D844" s="22"/>
      <c r="E844" s="22"/>
      <c r="F844" s="23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3"/>
      <c r="AF844" s="24"/>
      <c r="AG844" s="24"/>
      <c r="AH844" s="24"/>
      <c r="AI844" s="24"/>
      <c r="AJ844" s="22"/>
      <c r="AK844" s="22"/>
    </row>
    <row r="845">
      <c r="A845" s="22"/>
      <c r="B845" s="22"/>
      <c r="C845" s="22"/>
      <c r="D845" s="22"/>
      <c r="E845" s="22"/>
      <c r="F845" s="23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3"/>
      <c r="AF845" s="24"/>
      <c r="AG845" s="24"/>
      <c r="AH845" s="24"/>
      <c r="AI845" s="24"/>
      <c r="AJ845" s="22"/>
      <c r="AK845" s="22"/>
    </row>
    <row r="846">
      <c r="A846" s="22"/>
      <c r="B846" s="22"/>
      <c r="C846" s="22"/>
      <c r="D846" s="22"/>
      <c r="E846" s="22"/>
      <c r="F846" s="23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3"/>
      <c r="AF846" s="24"/>
      <c r="AG846" s="24"/>
      <c r="AH846" s="24"/>
      <c r="AI846" s="24"/>
      <c r="AJ846" s="22"/>
      <c r="AK846" s="22"/>
    </row>
    <row r="847">
      <c r="A847" s="22"/>
      <c r="B847" s="22"/>
      <c r="C847" s="22"/>
      <c r="D847" s="22"/>
      <c r="E847" s="22"/>
      <c r="F847" s="23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3"/>
      <c r="AF847" s="24"/>
      <c r="AG847" s="24"/>
      <c r="AH847" s="24"/>
      <c r="AI847" s="24"/>
      <c r="AJ847" s="22"/>
      <c r="AK847" s="22"/>
    </row>
    <row r="848">
      <c r="A848" s="22"/>
      <c r="B848" s="22"/>
      <c r="C848" s="22"/>
      <c r="D848" s="22"/>
      <c r="E848" s="22"/>
      <c r="F848" s="23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3"/>
      <c r="AF848" s="24"/>
      <c r="AG848" s="24"/>
      <c r="AH848" s="24"/>
      <c r="AI848" s="24"/>
      <c r="AJ848" s="22"/>
      <c r="AK848" s="22"/>
    </row>
    <row r="849">
      <c r="A849" s="22"/>
      <c r="B849" s="22"/>
      <c r="C849" s="22"/>
      <c r="D849" s="22"/>
      <c r="E849" s="22"/>
      <c r="F849" s="23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3"/>
      <c r="AF849" s="24"/>
      <c r="AG849" s="24"/>
      <c r="AH849" s="24"/>
      <c r="AI849" s="24"/>
      <c r="AJ849" s="22"/>
      <c r="AK849" s="22"/>
    </row>
    <row r="850">
      <c r="A850" s="22"/>
      <c r="B850" s="22"/>
      <c r="C850" s="22"/>
      <c r="D850" s="22"/>
      <c r="E850" s="22"/>
      <c r="F850" s="23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3"/>
      <c r="AF850" s="24"/>
      <c r="AG850" s="24"/>
      <c r="AH850" s="24"/>
      <c r="AI850" s="24"/>
      <c r="AJ850" s="22"/>
      <c r="AK850" s="22"/>
    </row>
    <row r="851">
      <c r="A851" s="22"/>
      <c r="B851" s="22"/>
      <c r="C851" s="22"/>
      <c r="D851" s="22"/>
      <c r="E851" s="22"/>
      <c r="F851" s="23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3"/>
      <c r="AF851" s="24"/>
      <c r="AG851" s="24"/>
      <c r="AH851" s="24"/>
      <c r="AI851" s="24"/>
      <c r="AJ851" s="22"/>
      <c r="AK851" s="22"/>
    </row>
    <row r="852">
      <c r="A852" s="22"/>
      <c r="B852" s="22"/>
      <c r="C852" s="22"/>
      <c r="D852" s="22"/>
      <c r="E852" s="22"/>
      <c r="F852" s="23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3"/>
      <c r="AF852" s="24"/>
      <c r="AG852" s="24"/>
      <c r="AH852" s="24"/>
      <c r="AI852" s="24"/>
      <c r="AJ852" s="22"/>
      <c r="AK852" s="22"/>
    </row>
    <row r="853">
      <c r="A853" s="22"/>
      <c r="B853" s="22"/>
      <c r="C853" s="22"/>
      <c r="D853" s="22"/>
      <c r="E853" s="22"/>
      <c r="F853" s="23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3"/>
      <c r="AF853" s="24"/>
      <c r="AG853" s="24"/>
      <c r="AH853" s="24"/>
      <c r="AI853" s="24"/>
      <c r="AJ853" s="22"/>
      <c r="AK853" s="22"/>
    </row>
    <row r="854">
      <c r="A854" s="22"/>
      <c r="B854" s="22"/>
      <c r="C854" s="22"/>
      <c r="D854" s="22"/>
      <c r="E854" s="22"/>
      <c r="F854" s="23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3"/>
      <c r="AF854" s="24"/>
      <c r="AG854" s="24"/>
      <c r="AH854" s="24"/>
      <c r="AI854" s="24"/>
      <c r="AJ854" s="22"/>
      <c r="AK854" s="22"/>
    </row>
    <row r="855">
      <c r="A855" s="22"/>
      <c r="B855" s="22"/>
      <c r="C855" s="22"/>
      <c r="D855" s="22"/>
      <c r="E855" s="22"/>
      <c r="F855" s="23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3"/>
      <c r="AF855" s="24"/>
      <c r="AG855" s="24"/>
      <c r="AH855" s="24"/>
      <c r="AI855" s="24"/>
      <c r="AJ855" s="22"/>
      <c r="AK855" s="22"/>
    </row>
    <row r="856">
      <c r="A856" s="22"/>
      <c r="B856" s="22"/>
      <c r="C856" s="22"/>
      <c r="D856" s="22"/>
      <c r="E856" s="22"/>
      <c r="F856" s="23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3"/>
      <c r="AF856" s="24"/>
      <c r="AG856" s="24"/>
      <c r="AH856" s="24"/>
      <c r="AI856" s="24"/>
      <c r="AJ856" s="22"/>
      <c r="AK856" s="22"/>
    </row>
    <row r="857">
      <c r="A857" s="22"/>
      <c r="B857" s="22"/>
      <c r="C857" s="22"/>
      <c r="D857" s="22"/>
      <c r="E857" s="22"/>
      <c r="F857" s="23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3"/>
      <c r="AF857" s="24"/>
      <c r="AG857" s="24"/>
      <c r="AH857" s="24"/>
      <c r="AI857" s="24"/>
      <c r="AJ857" s="22"/>
      <c r="AK857" s="22"/>
    </row>
    <row r="858">
      <c r="A858" s="22"/>
      <c r="B858" s="22"/>
      <c r="C858" s="22"/>
      <c r="D858" s="22"/>
      <c r="E858" s="22"/>
      <c r="F858" s="23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3"/>
      <c r="AF858" s="24"/>
      <c r="AG858" s="24"/>
      <c r="AH858" s="24"/>
      <c r="AI858" s="24"/>
      <c r="AJ858" s="22"/>
      <c r="AK858" s="22"/>
    </row>
    <row r="859">
      <c r="A859" s="22"/>
      <c r="B859" s="22"/>
      <c r="C859" s="22"/>
      <c r="D859" s="22"/>
      <c r="E859" s="22"/>
      <c r="F859" s="23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3"/>
      <c r="AF859" s="24"/>
      <c r="AG859" s="24"/>
      <c r="AH859" s="24"/>
      <c r="AI859" s="24"/>
      <c r="AJ859" s="22"/>
      <c r="AK859" s="22"/>
    </row>
    <row r="860">
      <c r="A860" s="22"/>
      <c r="B860" s="22"/>
      <c r="C860" s="22"/>
      <c r="D860" s="22"/>
      <c r="E860" s="22"/>
      <c r="F860" s="23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3"/>
      <c r="AF860" s="24"/>
      <c r="AG860" s="24"/>
      <c r="AH860" s="24"/>
      <c r="AI860" s="24"/>
      <c r="AJ860" s="22"/>
      <c r="AK860" s="22"/>
    </row>
    <row r="861">
      <c r="A861" s="22"/>
      <c r="B861" s="22"/>
      <c r="C861" s="22"/>
      <c r="D861" s="22"/>
      <c r="E861" s="22"/>
      <c r="F861" s="23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3"/>
      <c r="AF861" s="24"/>
      <c r="AG861" s="24"/>
      <c r="AH861" s="24"/>
      <c r="AI861" s="24"/>
      <c r="AJ861" s="22"/>
      <c r="AK861" s="22"/>
    </row>
    <row r="862">
      <c r="A862" s="22"/>
      <c r="B862" s="22"/>
      <c r="C862" s="22"/>
      <c r="D862" s="22"/>
      <c r="E862" s="22"/>
      <c r="F862" s="23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3"/>
      <c r="AF862" s="24"/>
      <c r="AG862" s="24"/>
      <c r="AH862" s="24"/>
      <c r="AI862" s="24"/>
      <c r="AJ862" s="22"/>
      <c r="AK862" s="22"/>
    </row>
    <row r="863">
      <c r="A863" s="22"/>
      <c r="B863" s="22"/>
      <c r="C863" s="22"/>
      <c r="D863" s="22"/>
      <c r="E863" s="22"/>
      <c r="F863" s="23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3"/>
      <c r="AF863" s="24"/>
      <c r="AG863" s="24"/>
      <c r="AH863" s="24"/>
      <c r="AI863" s="24"/>
      <c r="AJ863" s="22"/>
      <c r="AK863" s="22"/>
    </row>
    <row r="864">
      <c r="A864" s="22"/>
      <c r="B864" s="22"/>
      <c r="C864" s="22"/>
      <c r="D864" s="22"/>
      <c r="E864" s="22"/>
      <c r="F864" s="23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3"/>
      <c r="AF864" s="24"/>
      <c r="AG864" s="24"/>
      <c r="AH864" s="24"/>
      <c r="AI864" s="24"/>
      <c r="AJ864" s="22"/>
      <c r="AK864" s="22"/>
    </row>
    <row r="865">
      <c r="A865" s="22"/>
      <c r="B865" s="22"/>
      <c r="C865" s="22"/>
      <c r="D865" s="22"/>
      <c r="E865" s="22"/>
      <c r="F865" s="23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3"/>
      <c r="AF865" s="24"/>
      <c r="AG865" s="24"/>
      <c r="AH865" s="24"/>
      <c r="AI865" s="24"/>
      <c r="AJ865" s="22"/>
      <c r="AK865" s="22"/>
    </row>
    <row r="866">
      <c r="A866" s="22"/>
      <c r="B866" s="22"/>
      <c r="C866" s="22"/>
      <c r="D866" s="22"/>
      <c r="E866" s="22"/>
      <c r="F866" s="23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3"/>
      <c r="AF866" s="24"/>
      <c r="AG866" s="24"/>
      <c r="AH866" s="24"/>
      <c r="AI866" s="24"/>
      <c r="AJ866" s="22"/>
      <c r="AK866" s="22"/>
    </row>
    <row r="867">
      <c r="A867" s="22"/>
      <c r="B867" s="22"/>
      <c r="C867" s="22"/>
      <c r="D867" s="22"/>
      <c r="E867" s="22"/>
      <c r="F867" s="23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3"/>
      <c r="AF867" s="24"/>
      <c r="AG867" s="24"/>
      <c r="AH867" s="24"/>
      <c r="AI867" s="24"/>
      <c r="AJ867" s="22"/>
      <c r="AK867" s="22"/>
    </row>
    <row r="868">
      <c r="A868" s="22"/>
      <c r="B868" s="22"/>
      <c r="C868" s="22"/>
      <c r="D868" s="22"/>
      <c r="E868" s="22"/>
      <c r="F868" s="23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3"/>
      <c r="AF868" s="24"/>
      <c r="AG868" s="24"/>
      <c r="AH868" s="24"/>
      <c r="AI868" s="24"/>
      <c r="AJ868" s="22"/>
      <c r="AK868" s="22"/>
    </row>
    <row r="869">
      <c r="A869" s="22"/>
      <c r="B869" s="22"/>
      <c r="C869" s="22"/>
      <c r="D869" s="22"/>
      <c r="E869" s="22"/>
      <c r="F869" s="23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3"/>
      <c r="AF869" s="24"/>
      <c r="AG869" s="24"/>
      <c r="AH869" s="24"/>
      <c r="AI869" s="24"/>
      <c r="AJ869" s="22"/>
      <c r="AK869" s="22"/>
    </row>
    <row r="870">
      <c r="A870" s="22"/>
      <c r="B870" s="22"/>
      <c r="C870" s="22"/>
      <c r="D870" s="22"/>
      <c r="E870" s="22"/>
      <c r="F870" s="23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3"/>
      <c r="AF870" s="24"/>
      <c r="AG870" s="24"/>
      <c r="AH870" s="24"/>
      <c r="AI870" s="24"/>
      <c r="AJ870" s="22"/>
      <c r="AK870" s="22"/>
    </row>
    <row r="871">
      <c r="A871" s="22"/>
      <c r="B871" s="22"/>
      <c r="C871" s="22"/>
      <c r="D871" s="22"/>
      <c r="E871" s="22"/>
      <c r="F871" s="23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3"/>
      <c r="AF871" s="24"/>
      <c r="AG871" s="24"/>
      <c r="AH871" s="24"/>
      <c r="AI871" s="24"/>
      <c r="AJ871" s="22"/>
      <c r="AK871" s="22"/>
    </row>
    <row r="872">
      <c r="A872" s="22"/>
      <c r="B872" s="22"/>
      <c r="C872" s="22"/>
      <c r="D872" s="22"/>
      <c r="E872" s="22"/>
      <c r="F872" s="23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3"/>
      <c r="AF872" s="24"/>
      <c r="AG872" s="24"/>
      <c r="AH872" s="24"/>
      <c r="AI872" s="24"/>
      <c r="AJ872" s="22"/>
      <c r="AK872" s="22"/>
    </row>
    <row r="873">
      <c r="A873" s="22"/>
      <c r="B873" s="22"/>
      <c r="C873" s="22"/>
      <c r="D873" s="22"/>
      <c r="E873" s="22"/>
      <c r="F873" s="23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3"/>
      <c r="AF873" s="24"/>
      <c r="AG873" s="24"/>
      <c r="AH873" s="24"/>
      <c r="AI873" s="24"/>
      <c r="AJ873" s="22"/>
      <c r="AK873" s="22"/>
    </row>
    <row r="874">
      <c r="A874" s="22"/>
      <c r="B874" s="22"/>
      <c r="C874" s="22"/>
      <c r="D874" s="22"/>
      <c r="E874" s="22"/>
      <c r="F874" s="23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3"/>
      <c r="AF874" s="24"/>
      <c r="AG874" s="24"/>
      <c r="AH874" s="24"/>
      <c r="AI874" s="24"/>
      <c r="AJ874" s="22"/>
      <c r="AK874" s="22"/>
    </row>
    <row r="875">
      <c r="A875" s="22"/>
      <c r="B875" s="22"/>
      <c r="C875" s="22"/>
      <c r="D875" s="22"/>
      <c r="E875" s="22"/>
      <c r="F875" s="23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3"/>
      <c r="AF875" s="24"/>
      <c r="AG875" s="24"/>
      <c r="AH875" s="24"/>
      <c r="AI875" s="24"/>
      <c r="AJ875" s="22"/>
      <c r="AK875" s="22"/>
    </row>
    <row r="876">
      <c r="A876" s="22"/>
      <c r="B876" s="22"/>
      <c r="C876" s="22"/>
      <c r="D876" s="22"/>
      <c r="E876" s="22"/>
      <c r="F876" s="23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3"/>
      <c r="AF876" s="24"/>
      <c r="AG876" s="24"/>
      <c r="AH876" s="24"/>
      <c r="AI876" s="24"/>
      <c r="AJ876" s="22"/>
      <c r="AK876" s="22"/>
    </row>
    <row r="877">
      <c r="A877" s="22"/>
      <c r="B877" s="22"/>
      <c r="C877" s="22"/>
      <c r="D877" s="22"/>
      <c r="E877" s="22"/>
      <c r="F877" s="23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3"/>
      <c r="AF877" s="24"/>
      <c r="AG877" s="24"/>
      <c r="AH877" s="24"/>
      <c r="AI877" s="24"/>
      <c r="AJ877" s="22"/>
      <c r="AK877" s="22"/>
    </row>
    <row r="878">
      <c r="A878" s="22"/>
      <c r="B878" s="22"/>
      <c r="C878" s="22"/>
      <c r="D878" s="22"/>
      <c r="E878" s="22"/>
      <c r="F878" s="23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3"/>
      <c r="AF878" s="24"/>
      <c r="AG878" s="24"/>
      <c r="AH878" s="24"/>
      <c r="AI878" s="24"/>
      <c r="AJ878" s="22"/>
      <c r="AK878" s="22"/>
    </row>
    <row r="879">
      <c r="A879" s="22"/>
      <c r="B879" s="22"/>
      <c r="C879" s="22"/>
      <c r="D879" s="22"/>
      <c r="E879" s="22"/>
      <c r="F879" s="23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3"/>
      <c r="AF879" s="24"/>
      <c r="AG879" s="24"/>
      <c r="AH879" s="24"/>
      <c r="AI879" s="24"/>
      <c r="AJ879" s="22"/>
      <c r="AK879" s="22"/>
    </row>
    <row r="880">
      <c r="A880" s="22"/>
      <c r="B880" s="22"/>
      <c r="C880" s="22"/>
      <c r="D880" s="22"/>
      <c r="E880" s="22"/>
      <c r="F880" s="23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3"/>
      <c r="AF880" s="24"/>
      <c r="AG880" s="24"/>
      <c r="AH880" s="24"/>
      <c r="AI880" s="24"/>
      <c r="AJ880" s="22"/>
      <c r="AK880" s="22"/>
    </row>
    <row r="881">
      <c r="A881" s="22"/>
      <c r="B881" s="22"/>
      <c r="C881" s="22"/>
      <c r="D881" s="22"/>
      <c r="E881" s="22"/>
      <c r="F881" s="23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3"/>
      <c r="AF881" s="24"/>
      <c r="AG881" s="24"/>
      <c r="AH881" s="24"/>
      <c r="AI881" s="24"/>
      <c r="AJ881" s="22"/>
      <c r="AK881" s="22"/>
    </row>
    <row r="882">
      <c r="A882" s="22"/>
      <c r="B882" s="22"/>
      <c r="C882" s="22"/>
      <c r="D882" s="22"/>
      <c r="E882" s="22"/>
      <c r="F882" s="23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3"/>
      <c r="AF882" s="24"/>
      <c r="AG882" s="24"/>
      <c r="AH882" s="24"/>
      <c r="AI882" s="24"/>
      <c r="AJ882" s="22"/>
      <c r="AK882" s="22"/>
    </row>
    <row r="883">
      <c r="A883" s="22"/>
      <c r="B883" s="22"/>
      <c r="C883" s="22"/>
      <c r="D883" s="22"/>
      <c r="E883" s="22"/>
      <c r="F883" s="23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3"/>
      <c r="AF883" s="24"/>
      <c r="AG883" s="24"/>
      <c r="AH883" s="24"/>
      <c r="AI883" s="24"/>
      <c r="AJ883" s="22"/>
      <c r="AK883" s="22"/>
    </row>
    <row r="884">
      <c r="A884" s="22"/>
      <c r="B884" s="22"/>
      <c r="C884" s="22"/>
      <c r="D884" s="22"/>
      <c r="E884" s="22"/>
      <c r="F884" s="23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3"/>
      <c r="AF884" s="24"/>
      <c r="AG884" s="24"/>
      <c r="AH884" s="24"/>
      <c r="AI884" s="24"/>
      <c r="AJ884" s="22"/>
      <c r="AK884" s="22"/>
    </row>
    <row r="885">
      <c r="A885" s="22"/>
      <c r="B885" s="22"/>
      <c r="C885" s="22"/>
      <c r="D885" s="22"/>
      <c r="E885" s="22"/>
      <c r="F885" s="23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3"/>
      <c r="AF885" s="24"/>
      <c r="AG885" s="24"/>
      <c r="AH885" s="24"/>
      <c r="AI885" s="24"/>
      <c r="AJ885" s="22"/>
      <c r="AK885" s="22"/>
    </row>
    <row r="886">
      <c r="A886" s="22"/>
      <c r="B886" s="22"/>
      <c r="C886" s="22"/>
      <c r="D886" s="22"/>
      <c r="E886" s="22"/>
      <c r="F886" s="23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3"/>
      <c r="AF886" s="24"/>
      <c r="AG886" s="24"/>
      <c r="AH886" s="24"/>
      <c r="AI886" s="24"/>
      <c r="AJ886" s="22"/>
      <c r="AK886" s="22"/>
    </row>
    <row r="887">
      <c r="A887" s="22"/>
      <c r="B887" s="22"/>
      <c r="C887" s="22"/>
      <c r="D887" s="22"/>
      <c r="E887" s="22"/>
      <c r="F887" s="23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3"/>
      <c r="AF887" s="24"/>
      <c r="AG887" s="24"/>
      <c r="AH887" s="24"/>
      <c r="AI887" s="24"/>
      <c r="AJ887" s="22"/>
      <c r="AK887" s="22"/>
    </row>
    <row r="888">
      <c r="A888" s="22"/>
      <c r="B888" s="22"/>
      <c r="C888" s="22"/>
      <c r="D888" s="22"/>
      <c r="E888" s="22"/>
      <c r="F888" s="23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3"/>
      <c r="AF888" s="24"/>
      <c r="AG888" s="24"/>
      <c r="AH888" s="24"/>
      <c r="AI888" s="24"/>
      <c r="AJ888" s="22"/>
      <c r="AK888" s="22"/>
    </row>
    <row r="889">
      <c r="A889" s="22"/>
      <c r="B889" s="22"/>
      <c r="C889" s="22"/>
      <c r="D889" s="22"/>
      <c r="E889" s="22"/>
      <c r="F889" s="23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3"/>
      <c r="AF889" s="24"/>
      <c r="AG889" s="24"/>
      <c r="AH889" s="24"/>
      <c r="AI889" s="24"/>
      <c r="AJ889" s="22"/>
      <c r="AK889" s="22"/>
    </row>
    <row r="890">
      <c r="A890" s="22"/>
      <c r="B890" s="22"/>
      <c r="C890" s="22"/>
      <c r="D890" s="22"/>
      <c r="E890" s="22"/>
      <c r="F890" s="23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3"/>
      <c r="AF890" s="24"/>
      <c r="AG890" s="24"/>
      <c r="AH890" s="24"/>
      <c r="AI890" s="24"/>
      <c r="AJ890" s="22"/>
      <c r="AK890" s="22"/>
    </row>
    <row r="891">
      <c r="A891" s="22"/>
      <c r="B891" s="22"/>
      <c r="C891" s="22"/>
      <c r="D891" s="22"/>
      <c r="E891" s="22"/>
      <c r="F891" s="23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3"/>
      <c r="AF891" s="24"/>
      <c r="AG891" s="24"/>
      <c r="AH891" s="24"/>
      <c r="AI891" s="24"/>
      <c r="AJ891" s="22"/>
      <c r="AK891" s="22"/>
    </row>
    <row r="892">
      <c r="A892" s="22"/>
      <c r="B892" s="22"/>
      <c r="C892" s="22"/>
      <c r="D892" s="22"/>
      <c r="E892" s="22"/>
      <c r="F892" s="23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3"/>
      <c r="AF892" s="24"/>
      <c r="AG892" s="24"/>
      <c r="AH892" s="24"/>
      <c r="AI892" s="24"/>
      <c r="AJ892" s="22"/>
      <c r="AK892" s="22"/>
    </row>
    <row r="893">
      <c r="A893" s="22"/>
      <c r="B893" s="22"/>
      <c r="C893" s="22"/>
      <c r="D893" s="22"/>
      <c r="E893" s="22"/>
      <c r="F893" s="23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3"/>
      <c r="AF893" s="24"/>
      <c r="AG893" s="24"/>
      <c r="AH893" s="24"/>
      <c r="AI893" s="24"/>
      <c r="AJ893" s="22"/>
      <c r="AK893" s="22"/>
    </row>
    <row r="894">
      <c r="A894" s="22"/>
      <c r="B894" s="22"/>
      <c r="C894" s="22"/>
      <c r="D894" s="22"/>
      <c r="E894" s="22"/>
      <c r="F894" s="23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3"/>
      <c r="AF894" s="24"/>
      <c r="AG894" s="24"/>
      <c r="AH894" s="24"/>
      <c r="AI894" s="24"/>
      <c r="AJ894" s="22"/>
      <c r="AK894" s="22"/>
    </row>
    <row r="895">
      <c r="A895" s="22"/>
      <c r="B895" s="22"/>
      <c r="C895" s="22"/>
      <c r="D895" s="22"/>
      <c r="E895" s="22"/>
      <c r="F895" s="23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3"/>
      <c r="AF895" s="24"/>
      <c r="AG895" s="24"/>
      <c r="AH895" s="24"/>
      <c r="AI895" s="24"/>
      <c r="AJ895" s="22"/>
      <c r="AK895" s="22"/>
    </row>
    <row r="896">
      <c r="A896" s="22"/>
      <c r="B896" s="22"/>
      <c r="C896" s="22"/>
      <c r="D896" s="22"/>
      <c r="E896" s="22"/>
      <c r="F896" s="23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3"/>
      <c r="AF896" s="24"/>
      <c r="AG896" s="24"/>
      <c r="AH896" s="24"/>
      <c r="AI896" s="24"/>
      <c r="AJ896" s="22"/>
      <c r="AK896" s="22"/>
    </row>
    <row r="897">
      <c r="A897" s="22"/>
      <c r="B897" s="22"/>
      <c r="C897" s="22"/>
      <c r="D897" s="22"/>
      <c r="E897" s="22"/>
      <c r="F897" s="23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3"/>
      <c r="AF897" s="24"/>
      <c r="AG897" s="24"/>
      <c r="AH897" s="24"/>
      <c r="AI897" s="24"/>
      <c r="AJ897" s="22"/>
      <c r="AK897" s="22"/>
    </row>
    <row r="898">
      <c r="A898" s="22"/>
      <c r="B898" s="22"/>
      <c r="C898" s="22"/>
      <c r="D898" s="22"/>
      <c r="E898" s="22"/>
      <c r="F898" s="23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3"/>
      <c r="AF898" s="24"/>
      <c r="AG898" s="24"/>
      <c r="AH898" s="24"/>
      <c r="AI898" s="24"/>
      <c r="AJ898" s="22"/>
      <c r="AK898" s="22"/>
    </row>
    <row r="899">
      <c r="A899" s="22"/>
      <c r="B899" s="22"/>
      <c r="C899" s="22"/>
      <c r="D899" s="22"/>
      <c r="E899" s="22"/>
      <c r="F899" s="23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3"/>
      <c r="AF899" s="24"/>
      <c r="AG899" s="24"/>
      <c r="AH899" s="24"/>
      <c r="AI899" s="24"/>
      <c r="AJ899" s="22"/>
      <c r="AK899" s="22"/>
    </row>
    <row r="900">
      <c r="A900" s="22"/>
      <c r="B900" s="22"/>
      <c r="C900" s="22"/>
      <c r="D900" s="22"/>
      <c r="E900" s="22"/>
      <c r="F900" s="23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3"/>
      <c r="AF900" s="24"/>
      <c r="AG900" s="24"/>
      <c r="AH900" s="24"/>
      <c r="AI900" s="24"/>
      <c r="AJ900" s="22"/>
      <c r="AK900" s="22"/>
    </row>
    <row r="901">
      <c r="A901" s="22"/>
      <c r="B901" s="22"/>
      <c r="C901" s="22"/>
      <c r="D901" s="22"/>
      <c r="E901" s="22"/>
      <c r="F901" s="23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3"/>
      <c r="AF901" s="24"/>
      <c r="AG901" s="24"/>
      <c r="AH901" s="24"/>
      <c r="AI901" s="24"/>
      <c r="AJ901" s="22"/>
      <c r="AK901" s="22"/>
    </row>
    <row r="902">
      <c r="A902" s="22"/>
      <c r="B902" s="22"/>
      <c r="C902" s="22"/>
      <c r="D902" s="22"/>
      <c r="E902" s="22"/>
      <c r="F902" s="23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3"/>
      <c r="AF902" s="24"/>
      <c r="AG902" s="24"/>
      <c r="AH902" s="24"/>
      <c r="AI902" s="24"/>
      <c r="AJ902" s="22"/>
      <c r="AK902" s="22"/>
    </row>
    <row r="903">
      <c r="A903" s="22"/>
      <c r="B903" s="22"/>
      <c r="C903" s="22"/>
      <c r="D903" s="22"/>
      <c r="E903" s="22"/>
      <c r="F903" s="23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3"/>
      <c r="AF903" s="24"/>
      <c r="AG903" s="24"/>
      <c r="AH903" s="24"/>
      <c r="AI903" s="24"/>
      <c r="AJ903" s="22"/>
      <c r="AK903" s="22"/>
    </row>
    <row r="904">
      <c r="A904" s="22"/>
      <c r="B904" s="22"/>
      <c r="C904" s="22"/>
      <c r="D904" s="22"/>
      <c r="E904" s="22"/>
      <c r="F904" s="23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3"/>
      <c r="AF904" s="24"/>
      <c r="AG904" s="24"/>
      <c r="AH904" s="24"/>
      <c r="AI904" s="24"/>
      <c r="AJ904" s="22"/>
      <c r="AK904" s="22"/>
    </row>
    <row r="905">
      <c r="A905" s="22"/>
      <c r="B905" s="22"/>
      <c r="C905" s="22"/>
      <c r="D905" s="22"/>
      <c r="E905" s="22"/>
      <c r="F905" s="23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3"/>
      <c r="AF905" s="24"/>
      <c r="AG905" s="24"/>
      <c r="AH905" s="24"/>
      <c r="AI905" s="24"/>
      <c r="AJ905" s="22"/>
      <c r="AK905" s="22"/>
    </row>
    <row r="906">
      <c r="A906" s="22"/>
      <c r="B906" s="22"/>
      <c r="C906" s="22"/>
      <c r="D906" s="22"/>
      <c r="E906" s="22"/>
      <c r="F906" s="23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3"/>
      <c r="AF906" s="24"/>
      <c r="AG906" s="24"/>
      <c r="AH906" s="24"/>
      <c r="AI906" s="24"/>
      <c r="AJ906" s="22"/>
      <c r="AK906" s="22"/>
    </row>
    <row r="907">
      <c r="A907" s="22"/>
      <c r="B907" s="22"/>
      <c r="C907" s="22"/>
      <c r="D907" s="22"/>
      <c r="E907" s="22"/>
      <c r="F907" s="23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3"/>
      <c r="AF907" s="24"/>
      <c r="AG907" s="24"/>
      <c r="AH907" s="24"/>
      <c r="AI907" s="24"/>
      <c r="AJ907" s="22"/>
      <c r="AK907" s="22"/>
    </row>
    <row r="908">
      <c r="A908" s="22"/>
      <c r="B908" s="22"/>
      <c r="C908" s="22"/>
      <c r="D908" s="22"/>
      <c r="E908" s="22"/>
      <c r="F908" s="23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3"/>
      <c r="AF908" s="24"/>
      <c r="AG908" s="24"/>
      <c r="AH908" s="24"/>
      <c r="AI908" s="24"/>
      <c r="AJ908" s="22"/>
      <c r="AK908" s="22"/>
    </row>
    <row r="909">
      <c r="A909" s="22"/>
      <c r="B909" s="22"/>
      <c r="C909" s="22"/>
      <c r="D909" s="22"/>
      <c r="E909" s="22"/>
      <c r="F909" s="23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3"/>
      <c r="AF909" s="24"/>
      <c r="AG909" s="24"/>
      <c r="AH909" s="24"/>
      <c r="AI909" s="24"/>
      <c r="AJ909" s="22"/>
      <c r="AK909" s="22"/>
    </row>
    <row r="910">
      <c r="A910" s="22"/>
      <c r="B910" s="22"/>
      <c r="C910" s="22"/>
      <c r="D910" s="22"/>
      <c r="E910" s="22"/>
      <c r="F910" s="23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3"/>
      <c r="AF910" s="24"/>
      <c r="AG910" s="24"/>
      <c r="AH910" s="24"/>
      <c r="AI910" s="24"/>
      <c r="AJ910" s="22"/>
      <c r="AK910" s="22"/>
    </row>
    <row r="911">
      <c r="A911" s="22"/>
      <c r="B911" s="22"/>
      <c r="C911" s="22"/>
      <c r="D911" s="22"/>
      <c r="E911" s="22"/>
      <c r="F911" s="23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3"/>
      <c r="AF911" s="24"/>
      <c r="AG911" s="24"/>
      <c r="AH911" s="24"/>
      <c r="AI911" s="24"/>
      <c r="AJ911" s="22"/>
      <c r="AK911" s="22"/>
    </row>
    <row r="912">
      <c r="A912" s="22"/>
      <c r="B912" s="22"/>
      <c r="C912" s="22"/>
      <c r="D912" s="22"/>
      <c r="E912" s="22"/>
      <c r="F912" s="23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3"/>
      <c r="AF912" s="24"/>
      <c r="AG912" s="24"/>
      <c r="AH912" s="24"/>
      <c r="AI912" s="24"/>
      <c r="AJ912" s="22"/>
      <c r="AK912" s="22"/>
    </row>
    <row r="913">
      <c r="A913" s="22"/>
      <c r="B913" s="22"/>
      <c r="C913" s="22"/>
      <c r="D913" s="22"/>
      <c r="E913" s="22"/>
      <c r="F913" s="23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3"/>
      <c r="AF913" s="24"/>
      <c r="AG913" s="24"/>
      <c r="AH913" s="24"/>
      <c r="AI913" s="24"/>
      <c r="AJ913" s="22"/>
      <c r="AK913" s="22"/>
    </row>
    <row r="914">
      <c r="A914" s="22"/>
      <c r="B914" s="22"/>
      <c r="C914" s="22"/>
      <c r="D914" s="22"/>
      <c r="E914" s="22"/>
      <c r="F914" s="23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3"/>
      <c r="AF914" s="24"/>
      <c r="AG914" s="24"/>
      <c r="AH914" s="24"/>
      <c r="AI914" s="24"/>
      <c r="AJ914" s="22"/>
      <c r="AK914" s="22"/>
    </row>
    <row r="915">
      <c r="A915" s="22"/>
      <c r="B915" s="22"/>
      <c r="C915" s="22"/>
      <c r="D915" s="22"/>
      <c r="E915" s="22"/>
      <c r="F915" s="23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3"/>
      <c r="AF915" s="24"/>
      <c r="AG915" s="24"/>
      <c r="AH915" s="24"/>
      <c r="AI915" s="24"/>
      <c r="AJ915" s="22"/>
      <c r="AK915" s="22"/>
    </row>
    <row r="916">
      <c r="A916" s="22"/>
      <c r="B916" s="22"/>
      <c r="C916" s="22"/>
      <c r="D916" s="22"/>
      <c r="E916" s="22"/>
      <c r="F916" s="23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3"/>
      <c r="AF916" s="24"/>
      <c r="AG916" s="24"/>
      <c r="AH916" s="24"/>
      <c r="AI916" s="24"/>
      <c r="AJ916" s="22"/>
      <c r="AK916" s="22"/>
    </row>
    <row r="917">
      <c r="A917" s="22"/>
      <c r="B917" s="22"/>
      <c r="C917" s="22"/>
      <c r="D917" s="22"/>
      <c r="E917" s="22"/>
      <c r="F917" s="23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3"/>
      <c r="AF917" s="24"/>
      <c r="AG917" s="24"/>
      <c r="AH917" s="24"/>
      <c r="AI917" s="24"/>
      <c r="AJ917" s="22"/>
      <c r="AK917" s="22"/>
    </row>
    <row r="918">
      <c r="A918" s="22"/>
      <c r="B918" s="22"/>
      <c r="C918" s="22"/>
      <c r="D918" s="22"/>
      <c r="E918" s="22"/>
      <c r="F918" s="23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3"/>
      <c r="AF918" s="24"/>
      <c r="AG918" s="24"/>
      <c r="AH918" s="24"/>
      <c r="AI918" s="24"/>
      <c r="AJ918" s="22"/>
      <c r="AK918" s="22"/>
    </row>
    <row r="919">
      <c r="A919" s="22"/>
      <c r="B919" s="22"/>
      <c r="C919" s="22"/>
      <c r="D919" s="22"/>
      <c r="E919" s="22"/>
      <c r="F919" s="23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3"/>
      <c r="AF919" s="24"/>
      <c r="AG919" s="24"/>
      <c r="AH919" s="24"/>
      <c r="AI919" s="24"/>
      <c r="AJ919" s="22"/>
      <c r="AK919" s="22"/>
    </row>
    <row r="920">
      <c r="A920" s="22"/>
      <c r="B920" s="22"/>
      <c r="C920" s="22"/>
      <c r="D920" s="22"/>
      <c r="E920" s="22"/>
      <c r="F920" s="23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3"/>
      <c r="AF920" s="24"/>
      <c r="AG920" s="24"/>
      <c r="AH920" s="24"/>
      <c r="AI920" s="24"/>
      <c r="AJ920" s="22"/>
      <c r="AK920" s="22"/>
    </row>
    <row r="921">
      <c r="A921" s="22"/>
      <c r="B921" s="22"/>
      <c r="C921" s="22"/>
      <c r="D921" s="22"/>
      <c r="E921" s="22"/>
      <c r="F921" s="23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3"/>
      <c r="AF921" s="24"/>
      <c r="AG921" s="24"/>
      <c r="AH921" s="24"/>
      <c r="AI921" s="24"/>
      <c r="AJ921" s="22"/>
      <c r="AK921" s="22"/>
    </row>
    <row r="922">
      <c r="A922" s="22"/>
      <c r="B922" s="22"/>
      <c r="C922" s="22"/>
      <c r="D922" s="22"/>
      <c r="E922" s="22"/>
      <c r="F922" s="23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3"/>
      <c r="AF922" s="24"/>
      <c r="AG922" s="24"/>
      <c r="AH922" s="24"/>
      <c r="AI922" s="24"/>
      <c r="AJ922" s="22"/>
      <c r="AK922" s="22"/>
    </row>
    <row r="923">
      <c r="A923" s="22"/>
      <c r="B923" s="22"/>
      <c r="C923" s="22"/>
      <c r="D923" s="22"/>
      <c r="E923" s="22"/>
      <c r="F923" s="23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3"/>
      <c r="AF923" s="24"/>
      <c r="AG923" s="24"/>
      <c r="AH923" s="24"/>
      <c r="AI923" s="24"/>
      <c r="AJ923" s="22"/>
      <c r="AK923" s="22"/>
    </row>
    <row r="924">
      <c r="A924" s="22"/>
      <c r="B924" s="22"/>
      <c r="C924" s="22"/>
      <c r="D924" s="22"/>
      <c r="E924" s="22"/>
      <c r="F924" s="23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3"/>
      <c r="AF924" s="24"/>
      <c r="AG924" s="24"/>
      <c r="AH924" s="24"/>
      <c r="AI924" s="24"/>
      <c r="AJ924" s="22"/>
      <c r="AK924" s="22"/>
    </row>
    <row r="925">
      <c r="A925" s="22"/>
      <c r="B925" s="22"/>
      <c r="C925" s="22"/>
      <c r="D925" s="22"/>
      <c r="E925" s="22"/>
      <c r="F925" s="23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3"/>
      <c r="AF925" s="24"/>
      <c r="AG925" s="24"/>
      <c r="AH925" s="24"/>
      <c r="AI925" s="24"/>
      <c r="AJ925" s="22"/>
      <c r="AK925" s="22"/>
    </row>
    <row r="926">
      <c r="A926" s="22"/>
      <c r="B926" s="22"/>
      <c r="C926" s="22"/>
      <c r="D926" s="22"/>
      <c r="E926" s="22"/>
      <c r="F926" s="23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3"/>
      <c r="AF926" s="24"/>
      <c r="AG926" s="24"/>
      <c r="AH926" s="24"/>
      <c r="AI926" s="24"/>
      <c r="AJ926" s="22"/>
      <c r="AK926" s="22"/>
    </row>
    <row r="927">
      <c r="A927" s="22"/>
      <c r="B927" s="22"/>
      <c r="C927" s="22"/>
      <c r="D927" s="22"/>
      <c r="E927" s="22"/>
      <c r="F927" s="23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3"/>
      <c r="AF927" s="24"/>
      <c r="AG927" s="24"/>
      <c r="AH927" s="24"/>
      <c r="AI927" s="24"/>
      <c r="AJ927" s="22"/>
      <c r="AK927" s="22"/>
    </row>
    <row r="928">
      <c r="A928" s="22"/>
      <c r="B928" s="22"/>
      <c r="C928" s="22"/>
      <c r="D928" s="22"/>
      <c r="E928" s="22"/>
      <c r="F928" s="23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3"/>
      <c r="AF928" s="24"/>
      <c r="AG928" s="24"/>
      <c r="AH928" s="24"/>
      <c r="AI928" s="24"/>
      <c r="AJ928" s="22"/>
      <c r="AK928" s="22"/>
    </row>
    <row r="929">
      <c r="A929" s="22"/>
      <c r="B929" s="22"/>
      <c r="C929" s="22"/>
      <c r="D929" s="22"/>
      <c r="E929" s="22"/>
      <c r="F929" s="23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3"/>
      <c r="AF929" s="24"/>
      <c r="AG929" s="24"/>
      <c r="AH929" s="24"/>
      <c r="AI929" s="24"/>
      <c r="AJ929" s="22"/>
      <c r="AK929" s="22"/>
    </row>
    <row r="930">
      <c r="A930" s="22"/>
      <c r="B930" s="22"/>
      <c r="C930" s="22"/>
      <c r="D930" s="22"/>
      <c r="E930" s="22"/>
      <c r="F930" s="23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3"/>
      <c r="AF930" s="24"/>
      <c r="AG930" s="24"/>
      <c r="AH930" s="24"/>
      <c r="AI930" s="24"/>
      <c r="AJ930" s="22"/>
      <c r="AK930" s="22"/>
    </row>
    <row r="931">
      <c r="A931" s="22"/>
      <c r="B931" s="22"/>
      <c r="C931" s="22"/>
      <c r="D931" s="22"/>
      <c r="E931" s="22"/>
      <c r="F931" s="23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3"/>
      <c r="AF931" s="24"/>
      <c r="AG931" s="24"/>
      <c r="AH931" s="24"/>
      <c r="AI931" s="24"/>
      <c r="AJ931" s="22"/>
      <c r="AK931" s="22"/>
    </row>
    <row r="932">
      <c r="A932" s="22"/>
      <c r="B932" s="22"/>
      <c r="C932" s="22"/>
      <c r="D932" s="22"/>
      <c r="E932" s="22"/>
      <c r="F932" s="23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3"/>
      <c r="AF932" s="24"/>
      <c r="AG932" s="24"/>
      <c r="AH932" s="24"/>
      <c r="AI932" s="24"/>
      <c r="AJ932" s="22"/>
      <c r="AK932" s="22"/>
    </row>
    <row r="933">
      <c r="A933" s="22"/>
      <c r="B933" s="22"/>
      <c r="C933" s="22"/>
      <c r="D933" s="22"/>
      <c r="E933" s="22"/>
      <c r="F933" s="23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3"/>
      <c r="AF933" s="24"/>
      <c r="AG933" s="24"/>
      <c r="AH933" s="24"/>
      <c r="AI933" s="24"/>
      <c r="AJ933" s="22"/>
      <c r="AK933" s="22"/>
    </row>
    <row r="934">
      <c r="A934" s="22"/>
      <c r="B934" s="22"/>
      <c r="C934" s="22"/>
      <c r="D934" s="22"/>
      <c r="E934" s="22"/>
      <c r="F934" s="23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3"/>
      <c r="AF934" s="24"/>
      <c r="AG934" s="24"/>
      <c r="AH934" s="24"/>
      <c r="AI934" s="24"/>
      <c r="AJ934" s="22"/>
      <c r="AK934" s="22"/>
    </row>
    <row r="935">
      <c r="A935" s="22"/>
      <c r="B935" s="22"/>
      <c r="C935" s="22"/>
      <c r="D935" s="22"/>
      <c r="E935" s="22"/>
      <c r="F935" s="23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3"/>
      <c r="AF935" s="24"/>
      <c r="AG935" s="24"/>
      <c r="AH935" s="24"/>
      <c r="AI935" s="24"/>
      <c r="AJ935" s="22"/>
      <c r="AK935" s="22"/>
    </row>
    <row r="936">
      <c r="A936" s="22"/>
      <c r="B936" s="22"/>
      <c r="C936" s="22"/>
      <c r="D936" s="22"/>
      <c r="E936" s="22"/>
      <c r="F936" s="23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3"/>
      <c r="AF936" s="24"/>
      <c r="AG936" s="24"/>
      <c r="AH936" s="24"/>
      <c r="AI936" s="24"/>
      <c r="AJ936" s="22"/>
      <c r="AK936" s="22"/>
    </row>
    <row r="937">
      <c r="A937" s="22"/>
      <c r="B937" s="22"/>
      <c r="C937" s="22"/>
      <c r="D937" s="22"/>
      <c r="E937" s="22"/>
      <c r="F937" s="23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3"/>
      <c r="AF937" s="24"/>
      <c r="AG937" s="24"/>
      <c r="AH937" s="24"/>
      <c r="AI937" s="24"/>
      <c r="AJ937" s="22"/>
      <c r="AK937" s="22"/>
    </row>
    <row r="938">
      <c r="A938" s="22"/>
      <c r="B938" s="22"/>
      <c r="C938" s="22"/>
      <c r="D938" s="22"/>
      <c r="E938" s="22"/>
      <c r="F938" s="23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3"/>
      <c r="AF938" s="24"/>
      <c r="AG938" s="24"/>
      <c r="AH938" s="24"/>
      <c r="AI938" s="24"/>
      <c r="AJ938" s="22"/>
      <c r="AK938" s="22"/>
    </row>
    <row r="939">
      <c r="A939" s="22"/>
      <c r="B939" s="22"/>
      <c r="C939" s="22"/>
      <c r="D939" s="22"/>
      <c r="E939" s="22"/>
      <c r="F939" s="23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3"/>
      <c r="AF939" s="24"/>
      <c r="AG939" s="24"/>
      <c r="AH939" s="24"/>
      <c r="AI939" s="24"/>
      <c r="AJ939" s="22"/>
      <c r="AK939" s="22"/>
    </row>
    <row r="940">
      <c r="A940" s="22"/>
      <c r="B940" s="22"/>
      <c r="C940" s="22"/>
      <c r="D940" s="22"/>
      <c r="E940" s="22"/>
      <c r="F940" s="23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3"/>
      <c r="AF940" s="24"/>
      <c r="AG940" s="24"/>
      <c r="AH940" s="24"/>
      <c r="AI940" s="24"/>
      <c r="AJ940" s="22"/>
      <c r="AK940" s="22"/>
    </row>
    <row r="941">
      <c r="A941" s="22"/>
      <c r="B941" s="22"/>
      <c r="C941" s="22"/>
      <c r="D941" s="22"/>
      <c r="E941" s="22"/>
      <c r="F941" s="23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3"/>
      <c r="AF941" s="24"/>
      <c r="AG941" s="24"/>
      <c r="AH941" s="24"/>
      <c r="AI941" s="24"/>
      <c r="AJ941" s="22"/>
      <c r="AK941" s="22"/>
    </row>
    <row r="942">
      <c r="A942" s="22"/>
      <c r="B942" s="22"/>
      <c r="C942" s="22"/>
      <c r="D942" s="22"/>
      <c r="E942" s="22"/>
      <c r="F942" s="23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3"/>
      <c r="AF942" s="24"/>
      <c r="AG942" s="24"/>
      <c r="AH942" s="24"/>
      <c r="AI942" s="24"/>
      <c r="AJ942" s="22"/>
      <c r="AK942" s="22"/>
    </row>
    <row r="943">
      <c r="A943" s="22"/>
      <c r="B943" s="22"/>
      <c r="C943" s="22"/>
      <c r="D943" s="22"/>
      <c r="E943" s="22"/>
      <c r="F943" s="23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3"/>
      <c r="AF943" s="24"/>
      <c r="AG943" s="24"/>
      <c r="AH943" s="24"/>
      <c r="AI943" s="24"/>
      <c r="AJ943" s="22"/>
      <c r="AK943" s="22"/>
    </row>
    <row r="944">
      <c r="A944" s="22"/>
      <c r="B944" s="22"/>
      <c r="C944" s="22"/>
      <c r="D944" s="22"/>
      <c r="E944" s="22"/>
      <c r="F944" s="23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3"/>
      <c r="AF944" s="24"/>
      <c r="AG944" s="24"/>
      <c r="AH944" s="24"/>
      <c r="AI944" s="24"/>
      <c r="AJ944" s="22"/>
      <c r="AK944" s="22"/>
    </row>
    <row r="945">
      <c r="A945" s="22"/>
      <c r="B945" s="22"/>
      <c r="C945" s="22"/>
      <c r="D945" s="22"/>
      <c r="E945" s="22"/>
      <c r="F945" s="23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3"/>
      <c r="AF945" s="24"/>
      <c r="AG945" s="24"/>
      <c r="AH945" s="24"/>
      <c r="AI945" s="24"/>
      <c r="AJ945" s="22"/>
      <c r="AK945" s="22"/>
    </row>
    <row r="946">
      <c r="A946" s="22"/>
      <c r="B946" s="22"/>
      <c r="C946" s="22"/>
      <c r="D946" s="22"/>
      <c r="E946" s="22"/>
      <c r="F946" s="23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3"/>
      <c r="AF946" s="24"/>
      <c r="AG946" s="24"/>
      <c r="AH946" s="24"/>
      <c r="AI946" s="24"/>
      <c r="AJ946" s="22"/>
      <c r="AK946" s="22"/>
    </row>
    <row r="947">
      <c r="A947" s="22"/>
      <c r="B947" s="22"/>
      <c r="C947" s="22"/>
      <c r="D947" s="22"/>
      <c r="E947" s="22"/>
      <c r="F947" s="23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3"/>
      <c r="AF947" s="24"/>
      <c r="AG947" s="24"/>
      <c r="AH947" s="24"/>
      <c r="AI947" s="24"/>
      <c r="AJ947" s="22"/>
      <c r="AK947" s="22"/>
    </row>
    <row r="948">
      <c r="A948" s="22"/>
      <c r="B948" s="22"/>
      <c r="C948" s="22"/>
      <c r="D948" s="22"/>
      <c r="E948" s="22"/>
      <c r="F948" s="23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3"/>
      <c r="AF948" s="24"/>
      <c r="AG948" s="24"/>
      <c r="AH948" s="24"/>
      <c r="AI948" s="24"/>
      <c r="AJ948" s="22"/>
      <c r="AK948" s="22"/>
    </row>
    <row r="949">
      <c r="A949" s="22"/>
      <c r="B949" s="22"/>
      <c r="C949" s="22"/>
      <c r="D949" s="22"/>
      <c r="E949" s="22"/>
      <c r="F949" s="23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3"/>
      <c r="AF949" s="24"/>
      <c r="AG949" s="24"/>
      <c r="AH949" s="24"/>
      <c r="AI949" s="24"/>
      <c r="AJ949" s="22"/>
      <c r="AK949" s="22"/>
    </row>
    <row r="950">
      <c r="A950" s="22"/>
      <c r="B950" s="22"/>
      <c r="C950" s="22"/>
      <c r="D950" s="22"/>
      <c r="E950" s="22"/>
      <c r="F950" s="23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3"/>
      <c r="AF950" s="24"/>
      <c r="AG950" s="24"/>
      <c r="AH950" s="24"/>
      <c r="AI950" s="24"/>
      <c r="AJ950" s="22"/>
      <c r="AK950" s="22"/>
    </row>
    <row r="951">
      <c r="A951" s="22"/>
      <c r="B951" s="22"/>
      <c r="C951" s="22"/>
      <c r="D951" s="22"/>
      <c r="E951" s="22"/>
      <c r="F951" s="23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3"/>
      <c r="AF951" s="24"/>
      <c r="AG951" s="24"/>
      <c r="AH951" s="24"/>
      <c r="AI951" s="24"/>
      <c r="AJ951" s="22"/>
      <c r="AK951" s="22"/>
    </row>
    <row r="952">
      <c r="A952" s="22"/>
      <c r="B952" s="22"/>
      <c r="C952" s="22"/>
      <c r="D952" s="22"/>
      <c r="E952" s="22"/>
      <c r="F952" s="23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3"/>
      <c r="AF952" s="24"/>
      <c r="AG952" s="24"/>
      <c r="AH952" s="24"/>
      <c r="AI952" s="24"/>
      <c r="AJ952" s="22"/>
      <c r="AK952" s="22"/>
    </row>
    <row r="953">
      <c r="A953" s="22"/>
      <c r="B953" s="22"/>
      <c r="C953" s="22"/>
      <c r="D953" s="22"/>
      <c r="E953" s="22"/>
      <c r="F953" s="23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3"/>
      <c r="AF953" s="24"/>
      <c r="AG953" s="24"/>
      <c r="AH953" s="24"/>
      <c r="AI953" s="24"/>
      <c r="AJ953" s="22"/>
      <c r="AK953" s="22"/>
    </row>
    <row r="954">
      <c r="A954" s="22"/>
      <c r="B954" s="22"/>
      <c r="C954" s="22"/>
      <c r="D954" s="22"/>
      <c r="E954" s="22"/>
      <c r="F954" s="23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3"/>
      <c r="AF954" s="24"/>
      <c r="AG954" s="24"/>
      <c r="AH954" s="24"/>
      <c r="AI954" s="24"/>
      <c r="AJ954" s="22"/>
      <c r="AK954" s="22"/>
    </row>
    <row r="955">
      <c r="A955" s="22"/>
      <c r="B955" s="22"/>
      <c r="C955" s="22"/>
      <c r="D955" s="22"/>
      <c r="E955" s="22"/>
      <c r="F955" s="23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3"/>
      <c r="AF955" s="24"/>
      <c r="AG955" s="24"/>
      <c r="AH955" s="24"/>
      <c r="AI955" s="24"/>
      <c r="AJ955" s="22"/>
      <c r="AK955" s="22"/>
    </row>
    <row r="956">
      <c r="A956" s="22"/>
      <c r="B956" s="22"/>
      <c r="C956" s="22"/>
      <c r="D956" s="22"/>
      <c r="E956" s="22"/>
      <c r="F956" s="23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3"/>
      <c r="AF956" s="24"/>
      <c r="AG956" s="24"/>
      <c r="AH956" s="24"/>
      <c r="AI956" s="24"/>
      <c r="AJ956" s="22"/>
      <c r="AK956" s="22"/>
    </row>
    <row r="957">
      <c r="A957" s="22"/>
      <c r="B957" s="22"/>
      <c r="C957" s="22"/>
      <c r="D957" s="22"/>
      <c r="E957" s="22"/>
      <c r="F957" s="23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3"/>
      <c r="AF957" s="24"/>
      <c r="AG957" s="24"/>
      <c r="AH957" s="24"/>
      <c r="AI957" s="24"/>
      <c r="AJ957" s="22"/>
      <c r="AK957" s="22"/>
    </row>
    <row r="958">
      <c r="A958" s="22"/>
      <c r="B958" s="22"/>
      <c r="C958" s="22"/>
      <c r="D958" s="22"/>
      <c r="E958" s="22"/>
      <c r="F958" s="23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3"/>
      <c r="AF958" s="24"/>
      <c r="AG958" s="24"/>
      <c r="AH958" s="24"/>
      <c r="AI958" s="24"/>
      <c r="AJ958" s="22"/>
      <c r="AK958" s="22"/>
    </row>
    <row r="959">
      <c r="A959" s="22"/>
      <c r="B959" s="22"/>
      <c r="C959" s="22"/>
      <c r="D959" s="22"/>
      <c r="E959" s="22"/>
      <c r="F959" s="23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3"/>
      <c r="AF959" s="24"/>
      <c r="AG959" s="24"/>
      <c r="AH959" s="24"/>
      <c r="AI959" s="24"/>
      <c r="AJ959" s="22"/>
      <c r="AK959" s="22"/>
    </row>
    <row r="960">
      <c r="A960" s="22"/>
      <c r="B960" s="22"/>
      <c r="C960" s="22"/>
      <c r="D960" s="22"/>
      <c r="E960" s="22"/>
      <c r="F960" s="23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3"/>
      <c r="AF960" s="24"/>
      <c r="AG960" s="24"/>
      <c r="AH960" s="24"/>
      <c r="AI960" s="24"/>
      <c r="AJ960" s="22"/>
      <c r="AK960" s="22"/>
    </row>
    <row r="961">
      <c r="A961" s="22"/>
      <c r="B961" s="22"/>
      <c r="C961" s="22"/>
      <c r="D961" s="22"/>
      <c r="E961" s="22"/>
      <c r="F961" s="23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3"/>
      <c r="AF961" s="24"/>
      <c r="AG961" s="24"/>
      <c r="AH961" s="24"/>
      <c r="AI961" s="24"/>
      <c r="AJ961" s="22"/>
      <c r="AK961" s="22"/>
    </row>
    <row r="962">
      <c r="A962" s="22"/>
      <c r="B962" s="22"/>
      <c r="C962" s="22"/>
      <c r="D962" s="22"/>
      <c r="E962" s="22"/>
      <c r="F962" s="23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3"/>
      <c r="AF962" s="24"/>
      <c r="AG962" s="24"/>
      <c r="AH962" s="24"/>
      <c r="AI962" s="24"/>
      <c r="AJ962" s="22"/>
      <c r="AK962" s="22"/>
    </row>
    <row r="963">
      <c r="A963" s="22"/>
      <c r="B963" s="22"/>
      <c r="C963" s="22"/>
      <c r="D963" s="22"/>
      <c r="E963" s="22"/>
      <c r="F963" s="23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3"/>
      <c r="AF963" s="24"/>
      <c r="AG963" s="24"/>
      <c r="AH963" s="24"/>
      <c r="AI963" s="24"/>
      <c r="AJ963" s="22"/>
      <c r="AK963" s="22"/>
    </row>
    <row r="964">
      <c r="A964" s="22"/>
      <c r="B964" s="22"/>
      <c r="C964" s="22"/>
      <c r="D964" s="22"/>
      <c r="E964" s="22"/>
      <c r="F964" s="23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3"/>
      <c r="AF964" s="24"/>
      <c r="AG964" s="24"/>
      <c r="AH964" s="24"/>
      <c r="AI964" s="24"/>
      <c r="AJ964" s="22"/>
      <c r="AK964" s="22"/>
    </row>
    <row r="965">
      <c r="A965" s="22"/>
      <c r="B965" s="22"/>
      <c r="C965" s="22"/>
      <c r="D965" s="22"/>
      <c r="E965" s="22"/>
      <c r="F965" s="23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3"/>
      <c r="AF965" s="24"/>
      <c r="AG965" s="24"/>
      <c r="AH965" s="24"/>
      <c r="AI965" s="24"/>
      <c r="AJ965" s="22"/>
      <c r="AK965" s="22"/>
    </row>
    <row r="966">
      <c r="A966" s="22"/>
      <c r="B966" s="22"/>
      <c r="C966" s="22"/>
      <c r="D966" s="22"/>
      <c r="E966" s="22"/>
      <c r="F966" s="23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3"/>
      <c r="AF966" s="24"/>
      <c r="AG966" s="24"/>
      <c r="AH966" s="24"/>
      <c r="AI966" s="24"/>
      <c r="AJ966" s="22"/>
      <c r="AK966" s="22"/>
    </row>
    <row r="967">
      <c r="A967" s="22"/>
      <c r="B967" s="22"/>
      <c r="C967" s="22"/>
      <c r="D967" s="22"/>
      <c r="E967" s="22"/>
      <c r="F967" s="23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3"/>
      <c r="AF967" s="24"/>
      <c r="AG967" s="24"/>
      <c r="AH967" s="24"/>
      <c r="AI967" s="24"/>
      <c r="AJ967" s="22"/>
      <c r="AK967" s="22"/>
    </row>
    <row r="968">
      <c r="A968" s="22"/>
      <c r="B968" s="22"/>
      <c r="C968" s="22"/>
      <c r="D968" s="22"/>
      <c r="E968" s="22"/>
      <c r="F968" s="23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3"/>
      <c r="AF968" s="24"/>
      <c r="AG968" s="24"/>
      <c r="AH968" s="24"/>
      <c r="AI968" s="24"/>
      <c r="AJ968" s="22"/>
      <c r="AK968" s="22"/>
    </row>
    <row r="969">
      <c r="A969" s="22"/>
      <c r="B969" s="22"/>
      <c r="C969" s="22"/>
      <c r="D969" s="22"/>
      <c r="E969" s="22"/>
      <c r="F969" s="23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3"/>
      <c r="AF969" s="24"/>
      <c r="AG969" s="24"/>
      <c r="AH969" s="24"/>
      <c r="AI969" s="24"/>
      <c r="AJ969" s="22"/>
      <c r="AK969" s="22"/>
    </row>
    <row r="970">
      <c r="A970" s="22"/>
      <c r="B970" s="22"/>
      <c r="C970" s="22"/>
      <c r="D970" s="22"/>
      <c r="E970" s="22"/>
      <c r="F970" s="23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3"/>
      <c r="AF970" s="24"/>
      <c r="AG970" s="24"/>
      <c r="AH970" s="24"/>
      <c r="AI970" s="24"/>
      <c r="AJ970" s="22"/>
      <c r="AK970" s="22"/>
    </row>
    <row r="971">
      <c r="A971" s="22"/>
      <c r="B971" s="22"/>
      <c r="C971" s="22"/>
      <c r="D971" s="22"/>
      <c r="E971" s="22"/>
      <c r="F971" s="23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3"/>
      <c r="AF971" s="24"/>
      <c r="AG971" s="24"/>
      <c r="AH971" s="24"/>
      <c r="AI971" s="24"/>
      <c r="AJ971" s="22"/>
      <c r="AK971" s="22"/>
    </row>
    <row r="972">
      <c r="A972" s="22"/>
      <c r="B972" s="22"/>
      <c r="C972" s="22"/>
      <c r="D972" s="22"/>
      <c r="E972" s="22"/>
      <c r="F972" s="23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3"/>
      <c r="AF972" s="24"/>
      <c r="AG972" s="24"/>
      <c r="AH972" s="24"/>
      <c r="AI972" s="24"/>
      <c r="AJ972" s="22"/>
      <c r="AK972" s="22"/>
    </row>
    <row r="973">
      <c r="A973" s="22"/>
      <c r="B973" s="22"/>
      <c r="C973" s="22"/>
      <c r="D973" s="22"/>
      <c r="E973" s="22"/>
      <c r="F973" s="23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3"/>
      <c r="AF973" s="24"/>
      <c r="AG973" s="24"/>
      <c r="AH973" s="24"/>
      <c r="AI973" s="24"/>
      <c r="AJ973" s="22"/>
      <c r="AK973" s="22"/>
    </row>
    <row r="974">
      <c r="A974" s="22"/>
      <c r="B974" s="22"/>
      <c r="C974" s="22"/>
      <c r="D974" s="22"/>
      <c r="E974" s="22"/>
      <c r="F974" s="23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3"/>
      <c r="AF974" s="24"/>
      <c r="AG974" s="24"/>
      <c r="AH974" s="24"/>
      <c r="AI974" s="24"/>
      <c r="AJ974" s="22"/>
      <c r="AK974" s="22"/>
    </row>
    <row r="975">
      <c r="A975" s="22"/>
      <c r="B975" s="22"/>
      <c r="C975" s="22"/>
      <c r="D975" s="22"/>
      <c r="E975" s="22"/>
      <c r="F975" s="23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3"/>
      <c r="AF975" s="24"/>
      <c r="AG975" s="24"/>
      <c r="AH975" s="24"/>
      <c r="AI975" s="24"/>
      <c r="AJ975" s="22"/>
      <c r="AK975" s="22"/>
    </row>
    <row r="976">
      <c r="A976" s="22"/>
      <c r="B976" s="22"/>
      <c r="C976" s="22"/>
      <c r="D976" s="22"/>
      <c r="E976" s="22"/>
      <c r="F976" s="23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3"/>
      <c r="AF976" s="24"/>
      <c r="AG976" s="24"/>
      <c r="AH976" s="24"/>
      <c r="AI976" s="24"/>
      <c r="AJ976" s="22"/>
      <c r="AK976" s="22"/>
    </row>
    <row r="977">
      <c r="A977" s="22"/>
      <c r="B977" s="22"/>
      <c r="C977" s="22"/>
      <c r="D977" s="22"/>
      <c r="E977" s="22"/>
      <c r="F977" s="23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3"/>
      <c r="AF977" s="24"/>
      <c r="AG977" s="24"/>
      <c r="AH977" s="24"/>
      <c r="AI977" s="24"/>
      <c r="AJ977" s="22"/>
      <c r="AK977" s="22"/>
    </row>
    <row r="978">
      <c r="A978" s="22"/>
      <c r="B978" s="22"/>
      <c r="C978" s="22"/>
      <c r="D978" s="22"/>
      <c r="E978" s="22"/>
      <c r="F978" s="23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3"/>
      <c r="AF978" s="24"/>
      <c r="AG978" s="24"/>
      <c r="AH978" s="24"/>
      <c r="AI978" s="24"/>
      <c r="AJ978" s="22"/>
      <c r="AK978" s="22"/>
    </row>
    <row r="979">
      <c r="A979" s="22"/>
      <c r="B979" s="22"/>
      <c r="C979" s="22"/>
      <c r="D979" s="22"/>
      <c r="E979" s="22"/>
      <c r="F979" s="23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3"/>
      <c r="AF979" s="24"/>
      <c r="AG979" s="24"/>
      <c r="AH979" s="24"/>
      <c r="AI979" s="24"/>
      <c r="AJ979" s="22"/>
      <c r="AK979" s="22"/>
    </row>
    <row r="980">
      <c r="A980" s="22"/>
      <c r="B980" s="22"/>
      <c r="C980" s="22"/>
      <c r="D980" s="22"/>
      <c r="E980" s="22"/>
      <c r="F980" s="23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3"/>
      <c r="AF980" s="24"/>
      <c r="AG980" s="24"/>
      <c r="AH980" s="24"/>
      <c r="AI980" s="24"/>
      <c r="AJ980" s="22"/>
      <c r="AK980" s="22"/>
    </row>
    <row r="981">
      <c r="A981" s="22"/>
      <c r="B981" s="22"/>
      <c r="C981" s="22"/>
      <c r="D981" s="22"/>
      <c r="E981" s="22"/>
      <c r="F981" s="23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3"/>
      <c r="AF981" s="24"/>
      <c r="AG981" s="24"/>
      <c r="AH981" s="24"/>
      <c r="AI981" s="24"/>
      <c r="AJ981" s="22"/>
      <c r="AK981" s="22"/>
    </row>
    <row r="982">
      <c r="A982" s="22"/>
      <c r="B982" s="22"/>
      <c r="C982" s="22"/>
      <c r="D982" s="22"/>
      <c r="E982" s="22"/>
      <c r="F982" s="23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3"/>
      <c r="AF982" s="24"/>
      <c r="AG982" s="24"/>
      <c r="AH982" s="24"/>
      <c r="AI982" s="24"/>
      <c r="AJ982" s="22"/>
      <c r="AK982" s="22"/>
    </row>
    <row r="983">
      <c r="A983" s="22"/>
      <c r="B983" s="22"/>
      <c r="C983" s="22"/>
      <c r="D983" s="22"/>
      <c r="E983" s="22"/>
      <c r="F983" s="23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3"/>
      <c r="AF983" s="24"/>
      <c r="AG983" s="24"/>
      <c r="AH983" s="24"/>
      <c r="AI983" s="24"/>
      <c r="AJ983" s="22"/>
      <c r="AK983" s="22"/>
    </row>
    <row r="984">
      <c r="A984" s="22"/>
      <c r="B984" s="22"/>
      <c r="C984" s="22"/>
      <c r="D984" s="22"/>
      <c r="E984" s="22"/>
      <c r="F984" s="23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3"/>
      <c r="AF984" s="24"/>
      <c r="AG984" s="24"/>
      <c r="AH984" s="24"/>
      <c r="AI984" s="24"/>
      <c r="AJ984" s="22"/>
      <c r="AK984" s="22"/>
    </row>
    <row r="985">
      <c r="A985" s="22"/>
      <c r="B985" s="22"/>
      <c r="C985" s="22"/>
      <c r="D985" s="22"/>
      <c r="E985" s="22"/>
      <c r="F985" s="23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3"/>
      <c r="AF985" s="24"/>
      <c r="AG985" s="24"/>
      <c r="AH985" s="24"/>
      <c r="AI985" s="24"/>
      <c r="AJ985" s="22"/>
      <c r="AK985" s="22"/>
    </row>
    <row r="986">
      <c r="A986" s="22"/>
      <c r="B986" s="22"/>
      <c r="C986" s="22"/>
      <c r="D986" s="22"/>
      <c r="E986" s="22"/>
      <c r="F986" s="23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3"/>
      <c r="AF986" s="24"/>
      <c r="AG986" s="24"/>
      <c r="AH986" s="24"/>
      <c r="AI986" s="24"/>
      <c r="AJ986" s="22"/>
      <c r="AK986" s="22"/>
    </row>
    <row r="987">
      <c r="A987" s="22"/>
      <c r="B987" s="22"/>
      <c r="C987" s="22"/>
      <c r="D987" s="22"/>
      <c r="E987" s="22"/>
      <c r="F987" s="23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3"/>
      <c r="AF987" s="24"/>
      <c r="AG987" s="24"/>
      <c r="AH987" s="24"/>
      <c r="AI987" s="24"/>
      <c r="AJ987" s="22"/>
      <c r="AK987" s="22"/>
    </row>
    <row r="988">
      <c r="A988" s="22"/>
      <c r="B988" s="22"/>
      <c r="C988" s="22"/>
      <c r="D988" s="22"/>
      <c r="E988" s="22"/>
      <c r="F988" s="23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3"/>
      <c r="AF988" s="24"/>
      <c r="AG988" s="24"/>
      <c r="AH988" s="24"/>
      <c r="AI988" s="24"/>
      <c r="AJ988" s="22"/>
      <c r="AK988" s="22"/>
    </row>
    <row r="989">
      <c r="A989" s="22"/>
      <c r="B989" s="22"/>
      <c r="C989" s="22"/>
      <c r="D989" s="22"/>
      <c r="E989" s="22"/>
      <c r="F989" s="23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3"/>
      <c r="AF989" s="24"/>
      <c r="AG989" s="24"/>
      <c r="AH989" s="24"/>
      <c r="AI989" s="24"/>
      <c r="AJ989" s="22"/>
      <c r="AK989" s="22"/>
    </row>
    <row r="990">
      <c r="A990" s="22"/>
      <c r="B990" s="22"/>
      <c r="C990" s="22"/>
      <c r="D990" s="22"/>
      <c r="E990" s="22"/>
      <c r="F990" s="23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3"/>
      <c r="AF990" s="24"/>
      <c r="AG990" s="24"/>
      <c r="AH990" s="24"/>
      <c r="AI990" s="24"/>
      <c r="AJ990" s="22"/>
      <c r="AK990" s="22"/>
    </row>
    <row r="991">
      <c r="A991" s="22"/>
      <c r="B991" s="22"/>
      <c r="C991" s="22"/>
      <c r="D991" s="22"/>
      <c r="E991" s="22"/>
      <c r="F991" s="23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3"/>
      <c r="AF991" s="24"/>
      <c r="AG991" s="24"/>
      <c r="AH991" s="24"/>
      <c r="AI991" s="24"/>
      <c r="AJ991" s="22"/>
      <c r="AK991" s="22"/>
    </row>
    <row r="992">
      <c r="A992" s="22"/>
      <c r="B992" s="22"/>
      <c r="C992" s="22"/>
      <c r="D992" s="22"/>
      <c r="E992" s="22"/>
      <c r="F992" s="23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3"/>
      <c r="AF992" s="24"/>
      <c r="AG992" s="24"/>
      <c r="AH992" s="24"/>
      <c r="AI992" s="24"/>
      <c r="AJ992" s="22"/>
      <c r="AK992" s="22"/>
    </row>
    <row r="993">
      <c r="A993" s="22"/>
      <c r="B993" s="22"/>
      <c r="C993" s="22"/>
      <c r="D993" s="22"/>
      <c r="E993" s="22"/>
      <c r="F993" s="23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3"/>
      <c r="AF993" s="24"/>
      <c r="AG993" s="24"/>
      <c r="AH993" s="24"/>
      <c r="AI993" s="24"/>
      <c r="AJ993" s="22"/>
      <c r="AK993" s="22"/>
    </row>
    <row r="994">
      <c r="A994" s="22"/>
      <c r="B994" s="22"/>
      <c r="C994" s="22"/>
      <c r="D994" s="22"/>
      <c r="E994" s="22"/>
      <c r="F994" s="23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3"/>
      <c r="AF994" s="24"/>
      <c r="AG994" s="24"/>
      <c r="AH994" s="24"/>
      <c r="AI994" s="24"/>
      <c r="AJ994" s="22"/>
      <c r="AK994" s="22"/>
    </row>
    <row r="995">
      <c r="A995" s="22"/>
      <c r="B995" s="22"/>
      <c r="C995" s="22"/>
      <c r="D995" s="22"/>
      <c r="E995" s="22"/>
      <c r="F995" s="23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3"/>
      <c r="AF995" s="24"/>
      <c r="AG995" s="24"/>
      <c r="AH995" s="24"/>
      <c r="AI995" s="24"/>
      <c r="AJ995" s="22"/>
      <c r="AK995" s="22"/>
    </row>
    <row r="996">
      <c r="A996" s="22"/>
      <c r="B996" s="22"/>
      <c r="C996" s="22"/>
      <c r="D996" s="22"/>
      <c r="E996" s="22"/>
      <c r="F996" s="23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3"/>
      <c r="AF996" s="24"/>
      <c r="AG996" s="24"/>
      <c r="AH996" s="24"/>
      <c r="AI996" s="24"/>
      <c r="AJ996" s="22"/>
      <c r="AK996" s="22"/>
    </row>
    <row r="997">
      <c r="A997" s="22"/>
      <c r="B997" s="22"/>
      <c r="C997" s="22"/>
      <c r="D997" s="22"/>
      <c r="E997" s="22"/>
      <c r="F997" s="23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3"/>
      <c r="AF997" s="24"/>
      <c r="AG997" s="24"/>
      <c r="AH997" s="24"/>
      <c r="AI997" s="24"/>
      <c r="AJ997" s="22"/>
      <c r="AK997" s="22"/>
    </row>
    <row r="998">
      <c r="A998" s="22"/>
      <c r="B998" s="22"/>
      <c r="C998" s="22"/>
      <c r="D998" s="22"/>
      <c r="E998" s="22"/>
      <c r="F998" s="23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3"/>
      <c r="AF998" s="24"/>
      <c r="AG998" s="24"/>
      <c r="AH998" s="24"/>
      <c r="AI998" s="24"/>
      <c r="AJ998" s="22"/>
      <c r="AK998" s="22"/>
    </row>
    <row r="999">
      <c r="A999" s="22"/>
      <c r="B999" s="22"/>
      <c r="C999" s="22"/>
      <c r="D999" s="22"/>
      <c r="E999" s="22"/>
      <c r="F999" s="23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3"/>
      <c r="AF999" s="24"/>
      <c r="AG999" s="24"/>
      <c r="AH999" s="24"/>
      <c r="AI999" s="24"/>
      <c r="AJ999" s="22"/>
      <c r="AK999" s="22"/>
    </row>
    <row r="1000">
      <c r="A1000" s="22"/>
      <c r="B1000" s="22"/>
      <c r="C1000" s="22"/>
      <c r="D1000" s="22"/>
      <c r="E1000" s="22"/>
      <c r="F1000" s="23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3"/>
      <c r="AF1000" s="24"/>
      <c r="AG1000" s="24"/>
      <c r="AH1000" s="24"/>
      <c r="AI1000" s="24"/>
      <c r="AJ1000" s="22"/>
      <c r="AK1000" s="22"/>
    </row>
    <row r="1001">
      <c r="A1001" s="22"/>
      <c r="B1001" s="22"/>
      <c r="C1001" s="22"/>
      <c r="D1001" s="22"/>
      <c r="E1001" s="22"/>
      <c r="F1001" s="23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3"/>
      <c r="AF1001" s="24"/>
      <c r="AG1001" s="24"/>
      <c r="AH1001" s="24"/>
      <c r="AI1001" s="24"/>
      <c r="AJ1001" s="22"/>
      <c r="AK1001" s="22"/>
    </row>
    <row r="1002">
      <c r="A1002" s="22"/>
      <c r="B1002" s="22"/>
      <c r="C1002" s="22"/>
      <c r="D1002" s="22"/>
      <c r="E1002" s="22"/>
      <c r="F1002" s="23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3"/>
      <c r="AF1002" s="24"/>
      <c r="AG1002" s="24"/>
      <c r="AH1002" s="24"/>
      <c r="AI1002" s="24"/>
      <c r="AJ1002" s="22"/>
      <c r="AK1002" s="22"/>
    </row>
  </sheetData>
  <mergeCells count="286">
    <mergeCell ref="T23:U23"/>
    <mergeCell ref="V23:W23"/>
    <mergeCell ref="X23:Z23"/>
    <mergeCell ref="AA23:AB23"/>
    <mergeCell ref="AC23:AD23"/>
    <mergeCell ref="O23:P23"/>
    <mergeCell ref="O24:P24"/>
    <mergeCell ref="T24:U24"/>
    <mergeCell ref="V24:W24"/>
    <mergeCell ref="X24:Z24"/>
    <mergeCell ref="AA24:AB24"/>
    <mergeCell ref="AC24:AD24"/>
    <mergeCell ref="T9:U9"/>
    <mergeCell ref="T10:U10"/>
    <mergeCell ref="T11:U11"/>
    <mergeCell ref="V11:W11"/>
    <mergeCell ref="X11:Z11"/>
    <mergeCell ref="AA11:AB11"/>
    <mergeCell ref="AC11:AD11"/>
    <mergeCell ref="T12:U12"/>
    <mergeCell ref="V12:W12"/>
    <mergeCell ref="X12:Z12"/>
    <mergeCell ref="AA12:AB12"/>
    <mergeCell ref="AC12:AD12"/>
    <mergeCell ref="V13:W13"/>
    <mergeCell ref="AC13:AD13"/>
    <mergeCell ref="X13:Z13"/>
    <mergeCell ref="AA13:AB13"/>
    <mergeCell ref="X14:Z14"/>
    <mergeCell ref="AA14:AB14"/>
    <mergeCell ref="AC14:AD14"/>
    <mergeCell ref="AA15:AB15"/>
    <mergeCell ref="AC15:AD15"/>
    <mergeCell ref="X15:Z15"/>
    <mergeCell ref="X16:Z16"/>
    <mergeCell ref="AA16:AB16"/>
    <mergeCell ref="AC16:AD16"/>
    <mergeCell ref="X17:Z17"/>
    <mergeCell ref="AA17:AB17"/>
    <mergeCell ref="AC17:AD17"/>
    <mergeCell ref="J19:K19"/>
    <mergeCell ref="J20:K20"/>
    <mergeCell ref="T20:U20"/>
    <mergeCell ref="V20:W20"/>
    <mergeCell ref="X20:Z20"/>
    <mergeCell ref="AA20:AB20"/>
    <mergeCell ref="AC20:AD20"/>
    <mergeCell ref="O14:P14"/>
    <mergeCell ref="O15:P15"/>
    <mergeCell ref="O16:P16"/>
    <mergeCell ref="O17:P17"/>
    <mergeCell ref="O18:P18"/>
    <mergeCell ref="O19:P19"/>
    <mergeCell ref="O20:P20"/>
    <mergeCell ref="L26:O27"/>
    <mergeCell ref="Q26:T27"/>
    <mergeCell ref="V26:Y27"/>
    <mergeCell ref="AA26:AD27"/>
    <mergeCell ref="G13:H13"/>
    <mergeCell ref="G14:H14"/>
    <mergeCell ref="G15:H15"/>
    <mergeCell ref="G16:H16"/>
    <mergeCell ref="G17:H17"/>
    <mergeCell ref="G18:H18"/>
    <mergeCell ref="G19:H19"/>
    <mergeCell ref="L28:O38"/>
    <mergeCell ref="Q28:T38"/>
    <mergeCell ref="V28:Y38"/>
    <mergeCell ref="AA28:AD38"/>
    <mergeCell ref="L39:M39"/>
    <mergeCell ref="Q39:R39"/>
    <mergeCell ref="V39:W39"/>
    <mergeCell ref="AA39:AB39"/>
    <mergeCell ref="V40:W40"/>
    <mergeCell ref="V41:W41"/>
    <mergeCell ref="V42:W42"/>
    <mergeCell ref="X42:Y42"/>
    <mergeCell ref="AA42:AB42"/>
    <mergeCell ref="AC42:AD42"/>
    <mergeCell ref="G39:H39"/>
    <mergeCell ref="G40:H40"/>
    <mergeCell ref="L40:M40"/>
    <mergeCell ref="Q40:R40"/>
    <mergeCell ref="AA40:AB40"/>
    <mergeCell ref="L41:M41"/>
    <mergeCell ref="Q41:R41"/>
    <mergeCell ref="AA41:AB41"/>
    <mergeCell ref="G20:H20"/>
    <mergeCell ref="G21:H21"/>
    <mergeCell ref="G22:H22"/>
    <mergeCell ref="G23:H23"/>
    <mergeCell ref="G24:H24"/>
    <mergeCell ref="G26:J27"/>
    <mergeCell ref="G28:J38"/>
    <mergeCell ref="G45:J46"/>
    <mergeCell ref="G41:H41"/>
    <mergeCell ref="G42:H42"/>
    <mergeCell ref="I42:J42"/>
    <mergeCell ref="L42:M42"/>
    <mergeCell ref="N42:O42"/>
    <mergeCell ref="Q42:R42"/>
    <mergeCell ref="S42:T42"/>
    <mergeCell ref="L45:O46"/>
    <mergeCell ref="Q45:T46"/>
    <mergeCell ref="V45:Y46"/>
    <mergeCell ref="AA45:AD46"/>
    <mergeCell ref="J12:K12"/>
    <mergeCell ref="J13:K13"/>
    <mergeCell ref="J14:K14"/>
    <mergeCell ref="J15:K15"/>
    <mergeCell ref="J16:K16"/>
    <mergeCell ref="J17:K17"/>
    <mergeCell ref="J18:K18"/>
    <mergeCell ref="V47:Y57"/>
    <mergeCell ref="AA47:AD57"/>
    <mergeCell ref="V58:W58"/>
    <mergeCell ref="AA58:AB58"/>
    <mergeCell ref="V59:W59"/>
    <mergeCell ref="AA59:AB59"/>
    <mergeCell ref="V60:W60"/>
    <mergeCell ref="AA60:AB60"/>
    <mergeCell ref="J21:K21"/>
    <mergeCell ref="J22:K22"/>
    <mergeCell ref="J23:K23"/>
    <mergeCell ref="J24:K24"/>
    <mergeCell ref="G47:J57"/>
    <mergeCell ref="Q47:T57"/>
    <mergeCell ref="Q58:R58"/>
    <mergeCell ref="Q61:R61"/>
    <mergeCell ref="Q62:R62"/>
    <mergeCell ref="S62:T62"/>
    <mergeCell ref="V62:W62"/>
    <mergeCell ref="X62:Y62"/>
    <mergeCell ref="AA62:AB62"/>
    <mergeCell ref="AC62:AD62"/>
    <mergeCell ref="Q59:R59"/>
    <mergeCell ref="Q60:R60"/>
    <mergeCell ref="S61:T61"/>
    <mergeCell ref="V61:W61"/>
    <mergeCell ref="X61:Y61"/>
    <mergeCell ref="AA61:AB61"/>
    <mergeCell ref="AC61:AD61"/>
    <mergeCell ref="N62:O62"/>
    <mergeCell ref="L64:O65"/>
    <mergeCell ref="Q64:T65"/>
    <mergeCell ref="V64:Y65"/>
    <mergeCell ref="AA64:AD65"/>
    <mergeCell ref="L47:O57"/>
    <mergeCell ref="L58:M58"/>
    <mergeCell ref="L59:M59"/>
    <mergeCell ref="L60:M60"/>
    <mergeCell ref="L61:M61"/>
    <mergeCell ref="N61:O61"/>
    <mergeCell ref="L62:M62"/>
    <mergeCell ref="Q2:T3"/>
    <mergeCell ref="Q4:T5"/>
    <mergeCell ref="AA2:AD3"/>
    <mergeCell ref="AA4:AD5"/>
    <mergeCell ref="B2:E5"/>
    <mergeCell ref="G2:J3"/>
    <mergeCell ref="L2:O3"/>
    <mergeCell ref="V2:Y3"/>
    <mergeCell ref="G4:J5"/>
    <mergeCell ref="L4:O5"/>
    <mergeCell ref="V4:Y5"/>
    <mergeCell ref="V8:Z8"/>
    <mergeCell ref="AA8:AB8"/>
    <mergeCell ref="B7:E7"/>
    <mergeCell ref="G7:AD7"/>
    <mergeCell ref="D8:E8"/>
    <mergeCell ref="G8:H8"/>
    <mergeCell ref="I8:K8"/>
    <mergeCell ref="L8:M8"/>
    <mergeCell ref="N8:P8"/>
    <mergeCell ref="AC8:AD8"/>
    <mergeCell ref="X9:Z9"/>
    <mergeCell ref="AA9:AB9"/>
    <mergeCell ref="AC9:AD9"/>
    <mergeCell ref="X10:Z10"/>
    <mergeCell ref="AA10:AB10"/>
    <mergeCell ref="AC10:AD10"/>
    <mergeCell ref="J9:K9"/>
    <mergeCell ref="J10:K10"/>
    <mergeCell ref="Q8:R8"/>
    <mergeCell ref="S8:U8"/>
    <mergeCell ref="G9:H9"/>
    <mergeCell ref="O9:P9"/>
    <mergeCell ref="V9:W9"/>
    <mergeCell ref="O10:P10"/>
    <mergeCell ref="V10:W10"/>
    <mergeCell ref="G10:H10"/>
    <mergeCell ref="G11:H11"/>
    <mergeCell ref="J11:K11"/>
    <mergeCell ref="O11:P11"/>
    <mergeCell ref="G12:H12"/>
    <mergeCell ref="O12:P12"/>
    <mergeCell ref="O13:P13"/>
    <mergeCell ref="T17:U17"/>
    <mergeCell ref="V17:W17"/>
    <mergeCell ref="T13:U13"/>
    <mergeCell ref="T14:U14"/>
    <mergeCell ref="V14:W14"/>
    <mergeCell ref="T15:U15"/>
    <mergeCell ref="V15:W15"/>
    <mergeCell ref="T16:U16"/>
    <mergeCell ref="V16:W16"/>
    <mergeCell ref="X19:Z19"/>
    <mergeCell ref="AA19:AB19"/>
    <mergeCell ref="T18:U18"/>
    <mergeCell ref="V18:W18"/>
    <mergeCell ref="X18:Z18"/>
    <mergeCell ref="AA18:AB18"/>
    <mergeCell ref="AC18:AD18"/>
    <mergeCell ref="T19:U19"/>
    <mergeCell ref="V19:W19"/>
    <mergeCell ref="AC19:AD19"/>
    <mergeCell ref="T21:U21"/>
    <mergeCell ref="V21:W21"/>
    <mergeCell ref="X21:Z21"/>
    <mergeCell ref="AA21:AB21"/>
    <mergeCell ref="AC21:AD21"/>
    <mergeCell ref="O21:P21"/>
    <mergeCell ref="O22:P22"/>
    <mergeCell ref="T22:U22"/>
    <mergeCell ref="V22:W22"/>
    <mergeCell ref="X22:Z22"/>
    <mergeCell ref="AA22:AB22"/>
    <mergeCell ref="AC22:AD22"/>
    <mergeCell ref="X43:Y43"/>
    <mergeCell ref="AA43:AB43"/>
    <mergeCell ref="AC43:AD43"/>
    <mergeCell ref="G43:H43"/>
    <mergeCell ref="I43:J43"/>
    <mergeCell ref="L43:M43"/>
    <mergeCell ref="N43:O43"/>
    <mergeCell ref="Q43:R43"/>
    <mergeCell ref="S43:T43"/>
    <mergeCell ref="V43:W43"/>
    <mergeCell ref="G58:H58"/>
    <mergeCell ref="G59:H59"/>
    <mergeCell ref="G60:H60"/>
    <mergeCell ref="G61:H61"/>
    <mergeCell ref="I61:J61"/>
    <mergeCell ref="G62:H62"/>
    <mergeCell ref="I62:J62"/>
    <mergeCell ref="Q66:T76"/>
    <mergeCell ref="Q77:R77"/>
    <mergeCell ref="Q79:R79"/>
    <mergeCell ref="Q80:R80"/>
    <mergeCell ref="S80:T80"/>
    <mergeCell ref="Q81:R81"/>
    <mergeCell ref="S81:T81"/>
    <mergeCell ref="AA66:AD76"/>
    <mergeCell ref="AA77:AB77"/>
    <mergeCell ref="AA78:AB78"/>
    <mergeCell ref="AA79:AB79"/>
    <mergeCell ref="AA80:AB80"/>
    <mergeCell ref="AC80:AD80"/>
    <mergeCell ref="AA81:AB81"/>
    <mergeCell ref="AC81:AD81"/>
    <mergeCell ref="V77:W77"/>
    <mergeCell ref="V78:W78"/>
    <mergeCell ref="V79:W79"/>
    <mergeCell ref="V80:W80"/>
    <mergeCell ref="X80:Y80"/>
    <mergeCell ref="V81:W81"/>
    <mergeCell ref="X81:Y81"/>
    <mergeCell ref="G64:J65"/>
    <mergeCell ref="G66:J76"/>
    <mergeCell ref="L66:O76"/>
    <mergeCell ref="V66:Y76"/>
    <mergeCell ref="G77:H77"/>
    <mergeCell ref="G78:H78"/>
    <mergeCell ref="Q78:R78"/>
    <mergeCell ref="G80:H80"/>
    <mergeCell ref="G81:H81"/>
    <mergeCell ref="I81:J81"/>
    <mergeCell ref="L81:M81"/>
    <mergeCell ref="N81:O81"/>
    <mergeCell ref="L77:M77"/>
    <mergeCell ref="L78:M78"/>
    <mergeCell ref="G79:H79"/>
    <mergeCell ref="L79:M79"/>
    <mergeCell ref="I80:J80"/>
    <mergeCell ref="L80:M80"/>
    <mergeCell ref="N80:O80"/>
  </mergeCells>
  <dataValidations>
    <dataValidation type="list" allowBlank="1" showErrorMessage="1" sqref="C36:C81">
      <formula1>'SAVINGS TRACKER'!$G$9:$G$23</formula1>
    </dataValidation>
    <dataValidation type="list" allowBlank="1" showErrorMessage="1" sqref="C9:C35">
      <formula1>'SAVINGS TRACKER'!$G$9:$H$23</formula1>
    </dataValidation>
    <dataValidation type="custom" allowBlank="1" showDropDown="1" sqref="B9:B81">
      <formula1>OR(NOT(ISERROR(DATEVALUE(B9))), AND(ISNUMBER(B9), LEFT(CELL("format", B9))="D"))</formula1>
    </dataValidation>
  </dataValidations>
  <drawing r:id="rId1"/>
</worksheet>
</file>